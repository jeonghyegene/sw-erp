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y4\Desktop\XT회의\0707\"/>
    </mc:Choice>
  </mc:AlternateContent>
  <xr:revisionPtr revIDLastSave="0" documentId="13_ncr:1_{3D9511D9-1C7C-44C4-A7C6-F060E4D30ED3}" xr6:coauthVersionLast="47" xr6:coauthVersionMax="47" xr10:uidLastSave="{00000000-0000-0000-0000-000000000000}"/>
  <bookViews>
    <workbookView xWindow="28680" yWindow="-120" windowWidth="29040" windowHeight="17640" xr2:uid="{60640198-9C39-4CBC-9D7A-FAFAC9A5CF70}"/>
  </bookViews>
  <sheets>
    <sheet name="사무" sheetId="1" r:id="rId1"/>
    <sheet name="생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2" l="1"/>
  <c r="D98" i="2"/>
  <c r="J104" i="2" s="1"/>
  <c r="J11" i="2"/>
  <c r="G11" i="2"/>
  <c r="A101" i="2" s="1"/>
  <c r="D98" i="1"/>
  <c r="N38" i="1"/>
  <c r="H38" i="1"/>
  <c r="E38" i="1"/>
  <c r="S40" i="1"/>
  <c r="S39" i="1"/>
  <c r="S38" i="1"/>
  <c r="J11" i="1"/>
  <c r="G11" i="1"/>
  <c r="J104" i="1"/>
  <c r="A101" i="1"/>
  <c r="N3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</author>
  </authors>
  <commentList>
    <comment ref="G9" authorId="0" shapeId="0" xr:uid="{809453C5-63D8-417B-8921-100C9670DF1F}">
      <text>
        <r>
          <rPr>
            <b/>
            <sz val="9"/>
            <color indexed="81"/>
            <rFont val="Tahoma"/>
            <family val="2"/>
          </rPr>
          <t>wind: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정규직의 경우 최초입사일만 입력. 계약직은 계약기간 (시기, 종기) 모두 입력</t>
        </r>
      </text>
    </comment>
    <comment ref="G11" authorId="0" shapeId="0" xr:uid="{438AAB1A-E085-4D21-97E4-1A2F7051F435}">
      <text>
        <r>
          <rPr>
            <b/>
            <sz val="9"/>
            <color indexed="81"/>
            <rFont val="Tahoma"/>
            <family val="2"/>
          </rPr>
          <t>wind: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 갱신일
중도 입사자의 경우 입사일</t>
        </r>
      </text>
    </comment>
    <comment ref="J15" authorId="0" shapeId="0" xr:uid="{9A9CACBD-315E-4B8D-B977-24AC106865A6}">
      <text>
        <r>
          <rPr>
            <b/>
            <sz val="9"/>
            <color indexed="81"/>
            <rFont val="Tahoma"/>
            <family val="2"/>
          </rPr>
          <t>wind: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담당업무내용 입력
생산/관리직/연구개발직 등 다소 포괄적인 '직종'을 중심으로 기입함.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</author>
  </authors>
  <commentList>
    <comment ref="G9" authorId="0" shapeId="0" xr:uid="{481807AB-6133-4154-AF15-B15DE71C8E51}">
      <text>
        <r>
          <rPr>
            <b/>
            <sz val="9"/>
            <color indexed="81"/>
            <rFont val="Tahoma"/>
            <family val="2"/>
          </rPr>
          <t>wind: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정규직의 경우 최초입사일만 입력. 계약직은 계약기간 (시기, 종기) 모두 입력</t>
        </r>
      </text>
    </comment>
    <comment ref="G11" authorId="0" shapeId="0" xr:uid="{0BC452B5-F9D6-4150-BC07-341DB77C1B88}">
      <text>
        <r>
          <rPr>
            <b/>
            <sz val="9"/>
            <color indexed="81"/>
            <rFont val="Tahoma"/>
            <family val="2"/>
          </rPr>
          <t>wind: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연봉 갱신일
중도 입사자의 경우 입사일</t>
        </r>
      </text>
    </comment>
    <comment ref="J15" authorId="0" shapeId="0" xr:uid="{38673BE4-E902-402D-B40E-A853E776A7AB}">
      <text>
        <r>
          <rPr>
            <b/>
            <sz val="9"/>
            <color indexed="81"/>
            <rFont val="Tahoma"/>
            <family val="2"/>
          </rPr>
          <t>wind: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담당업무내용 입력
생산/관리직/연구개발직 등 다소 포괄적인 '직종'을 중심으로 기입함.</t>
        </r>
      </text>
    </comment>
  </commentList>
</comments>
</file>

<file path=xl/sharedStrings.xml><?xml version="1.0" encoding="utf-8"?>
<sst xmlns="http://schemas.openxmlformats.org/spreadsheetml/2006/main" count="265" uniqueCount="111">
  <si>
    <t>근  로  계  약  서</t>
    <phoneticPr fontId="5" type="noConversion"/>
  </si>
  <si>
    <t xml:space="preserve">    ㈜성원애드피아 (이하 '갑'이라 한다)는  근로자                          </t>
    <phoneticPr fontId="4" type="noConversion"/>
  </si>
  <si>
    <t xml:space="preserve">(이하 '을'이라 한다) 과(와) 아래와 같은 내용으로 근로계약을 </t>
    <phoneticPr fontId="9" type="noConversion"/>
  </si>
  <si>
    <t xml:space="preserve">체결한다. </t>
    <phoneticPr fontId="5" type="noConversion"/>
  </si>
  <si>
    <t>■       아       래       ■</t>
    <phoneticPr fontId="9" type="noConversion"/>
  </si>
  <si>
    <t xml:space="preserve"> 제 1 조 ( 근로계약기간 )</t>
    <phoneticPr fontId="9" type="noConversion"/>
  </si>
  <si>
    <t>①</t>
    <phoneticPr fontId="5" type="noConversion"/>
  </si>
  <si>
    <t xml:space="preserve">'을'의 근로계약기간은 </t>
    <phoneticPr fontId="4" type="noConversion"/>
  </si>
  <si>
    <t>~</t>
    <phoneticPr fontId="9" type="noConversion"/>
  </si>
  <si>
    <t>기한의 정함이 없는 근로계약을 체결한 것으로 한다.</t>
  </si>
  <si>
    <t xml:space="preserve">계약직의 경우 별도의 계약 갱신이 이루어지지 않는 한 상기 근로계약기간의 만료로 근로관계가 자동 종료된다. </t>
  </si>
  <si>
    <t>②</t>
    <phoneticPr fontId="5" type="noConversion"/>
  </si>
  <si>
    <t xml:space="preserve">'을'의 임금계약기간은 </t>
    <phoneticPr fontId="4" type="noConversion"/>
  </si>
  <si>
    <t>로 한다</t>
    <phoneticPr fontId="9" type="noConversion"/>
  </si>
  <si>
    <t>* 새로운 임금계약이 체결되기전까지 자동 갱신된다</t>
    <phoneticPr fontId="4" type="noConversion"/>
  </si>
  <si>
    <t xml:space="preserve"> 제 2 조 ( 근무장소 및 직종 )</t>
    <phoneticPr fontId="9" type="noConversion"/>
  </si>
  <si>
    <t>'을'의 근무장소 및 직종은</t>
  </si>
  <si>
    <t>/</t>
    <phoneticPr fontId="9" type="noConversion"/>
  </si>
  <si>
    <t>(으)로 한다.</t>
    <phoneticPr fontId="9" type="noConversion"/>
  </si>
  <si>
    <t>'갑'은 업무상 필요에 따라 '을'의 근무장소 및 직종을 변경할 수 있으며, '을'은 정당한 이유없이 이를 거부할 수 없다.</t>
  </si>
  <si>
    <t xml:space="preserve"> 제 3 조 ( 근로시간 )</t>
    <phoneticPr fontId="9" type="noConversion"/>
  </si>
  <si>
    <t>근로시간은 일 8시간, 주40시간을 원칙으로 한다.</t>
  </si>
  <si>
    <t xml:space="preserve">'을'의 기본 근로시간 및 휴게시간은 다음과 같으며, 시차출퇴근제 적용자는 회사가 지정하는 범위에서 근로자가 시업시각과 </t>
  </si>
  <si>
    <t>종업시각을 선택할 수 있다. 이 경우에도 휴게시간은 원칙적으로 12~13시로 한다</t>
    <phoneticPr fontId="5" type="noConversion"/>
  </si>
  <si>
    <t>교대조</t>
    <phoneticPr fontId="5" type="noConversion"/>
  </si>
  <si>
    <t>시업시각</t>
    <phoneticPr fontId="5" type="noConversion"/>
  </si>
  <si>
    <t>종업시각</t>
    <phoneticPr fontId="5" type="noConversion"/>
  </si>
  <si>
    <t>휴게시간</t>
    <phoneticPr fontId="5" type="noConversion"/>
  </si>
  <si>
    <t>주간조</t>
    <phoneticPr fontId="5" type="noConversion"/>
  </si>
  <si>
    <t>12:00~13:00</t>
    <phoneticPr fontId="5" type="noConversion"/>
  </si>
  <si>
    <t>야간조</t>
    <phoneticPr fontId="5" type="noConversion"/>
  </si>
  <si>
    <t>③</t>
    <phoneticPr fontId="5" type="noConversion"/>
  </si>
  <si>
    <t>갑'은 업무상 스케줄 필요에 따라 근무시간을 조정(시업 및 종업시간, 휴게시간, 단축 및 연장)할 수 있으며, 을은 주 12시간 한도내에서</t>
    <phoneticPr fontId="4" type="noConversion"/>
  </si>
  <si>
    <t xml:space="preserve">시간외 근로를 요구할 수 있다. </t>
  </si>
  <si>
    <r>
      <t xml:space="preserve">내용 확인 및 동의  </t>
    </r>
    <r>
      <rPr>
        <b/>
        <u/>
        <sz val="10"/>
        <rFont val="굴림"/>
        <family val="3"/>
        <charset val="129"/>
      </rPr>
      <t xml:space="preserve">                      </t>
    </r>
    <r>
      <rPr>
        <b/>
        <sz val="10"/>
        <rFont val="굴림"/>
        <family val="3"/>
        <charset val="129"/>
      </rPr>
      <t xml:space="preserve"> (서명)</t>
    </r>
    <phoneticPr fontId="4" type="noConversion"/>
  </si>
  <si>
    <t>④</t>
    <phoneticPr fontId="9" type="noConversion"/>
  </si>
  <si>
    <t xml:space="preserve">시간외 근로는 회사의 지시와 승인을 받은 시간만을 인정하며, 임의적인 시간외근로는 근로시간으로 인정하지 아니한다. </t>
    <phoneticPr fontId="4" type="noConversion"/>
  </si>
  <si>
    <t>⑤</t>
    <phoneticPr fontId="5" type="noConversion"/>
  </si>
  <si>
    <t xml:space="preserve">승인없이 소정근무일에 휴무를 하는 경우 사유불문하고 무단 결근으로 처리되며, 무단결근 3회누적시 징계처리 될수 있다. </t>
    <phoneticPr fontId="4" type="noConversion"/>
  </si>
  <si>
    <t xml:space="preserve"> 제 4 조 ( 급여 )</t>
    <phoneticPr fontId="9" type="noConversion"/>
  </si>
  <si>
    <t>'을'의 총연봉액은</t>
    <phoneticPr fontId="4" type="noConversion"/>
  </si>
  <si>
    <t>원 이며, 이를 매월 지급한다.</t>
    <phoneticPr fontId="5" type="noConversion"/>
  </si>
  <si>
    <t>'을'의 총월봉액은</t>
    <phoneticPr fontId="4" type="noConversion"/>
  </si>
  <si>
    <t>원이며, 월급여의 구성은 다음과 같다.</t>
    <phoneticPr fontId="5" type="noConversion"/>
  </si>
  <si>
    <t>항목</t>
    <phoneticPr fontId="5" type="noConversion"/>
  </si>
  <si>
    <t>기본급</t>
    <phoneticPr fontId="5" type="noConversion"/>
  </si>
  <si>
    <t>연장근로수당</t>
    <phoneticPr fontId="5" type="noConversion"/>
  </si>
  <si>
    <t>기타수당</t>
    <phoneticPr fontId="5" type="noConversion"/>
  </si>
  <si>
    <t>월임금합계</t>
    <phoneticPr fontId="5" type="noConversion"/>
  </si>
  <si>
    <t>금액</t>
    <phoneticPr fontId="5" type="noConversion"/>
  </si>
  <si>
    <t>산정식</t>
    <phoneticPr fontId="5" type="noConversion"/>
  </si>
  <si>
    <t>시급*209</t>
    <phoneticPr fontId="5" type="noConversion"/>
  </si>
  <si>
    <t xml:space="preserve">급여는 매월 1일부터 말일까지를 산정기간으로 하여, 익월 10일(휴일인 경우 익일)에  '을' 본인명의의 계좌로 지급한다. </t>
  </si>
  <si>
    <t>월 급여 지급시 근로소득세 및 건강보험료, 국민연금, 고용보험 등의 제세공과금을 원천징수한후 지급한다.</t>
    <phoneticPr fontId="4" type="noConversion"/>
  </si>
  <si>
    <t>결근일 및 지각, 조퇴, 임의외출 등으로 근무하지 않은 시간에 대해서는 무급을 원칙으로 하며, 해당 시간 및 일에 대한 임금을</t>
    <phoneticPr fontId="4" type="noConversion"/>
  </si>
  <si>
    <t xml:space="preserve">     </t>
    <phoneticPr fontId="5" type="noConversion"/>
  </si>
  <si>
    <t xml:space="preserve">공제할 수 있다. </t>
    <phoneticPr fontId="4" type="noConversion"/>
  </si>
  <si>
    <t>⑥</t>
    <phoneticPr fontId="5" type="noConversion"/>
  </si>
  <si>
    <t>중도입사, 퇴사, 휴직, 복직 등으로 월급여 산정기간을 만근하지 못할 경우 전체 산정대상 기간 일수에 대한 근무일수를 일할계산하여</t>
    <phoneticPr fontId="4" type="noConversion"/>
  </si>
  <si>
    <t>급여를 지급한다.</t>
  </si>
  <si>
    <t xml:space="preserve"> 제 5 조 ( 퇴직금 )</t>
    <phoneticPr fontId="9" type="noConversion"/>
  </si>
  <si>
    <t>'을'의 계속근로연수가 1년 이상인 경우 '을'의 퇴직시에 계속근로연수 1년에 대하여 30일분의 평균임금을 퇴직금으로 지급한다.</t>
    <phoneticPr fontId="4" type="noConversion"/>
  </si>
  <si>
    <t xml:space="preserve"> 전항의 퇴직급여와 관련하여 근로자 퇴직급여보장법 상의 요건에 따라 퇴직연금제를 도입하여 운영할 수 있다.</t>
  </si>
  <si>
    <t>③</t>
    <phoneticPr fontId="4" type="noConversion"/>
  </si>
  <si>
    <t>'갑'은 퇴직금등 근로관계에서 발생한 일체의 금품을 '을'의 퇴직후 14일 이내에 지급하도록 한다.</t>
    <phoneticPr fontId="4" type="noConversion"/>
  </si>
  <si>
    <t xml:space="preserve"> 제 6 조 ( 휴일 ) </t>
    <phoneticPr fontId="5" type="noConversion"/>
  </si>
  <si>
    <t>근로자의 날 및 주휴일을 유급휴일로 하며, 주휴일은 1주간 소정의 근로일을 개근한 경우 부여한다.</t>
  </si>
  <si>
    <t>매주 토요일은 무급휴일로 한다.</t>
  </si>
  <si>
    <t xml:space="preserve"> 제 7 조 ( 연차휴가 )</t>
    <phoneticPr fontId="5" type="noConversion"/>
  </si>
  <si>
    <t>1년 이내에 퇴직시 1개월 만근시 1일의 연차휴가를 산정(근로기준법 제 60조 2항)하는 바, 이와 더불어 부여한 연차일수</t>
    <phoneticPr fontId="4" type="noConversion"/>
  </si>
  <si>
    <t xml:space="preserve">(회계년도기준 비례부여일수)는 총연차휴가일수에서 공제하며,  이미 초과 사용한 일수는 퇴직시 임금에서 공제한다. </t>
    <phoneticPr fontId="4" type="noConversion"/>
  </si>
  <si>
    <t>(1년이상근무의 경우도 퇴사시 입사일 기준으로 산정된 연차휴가보다 초과부여 . 사용시 동일 적용함)</t>
    <phoneticPr fontId="4" type="noConversion"/>
  </si>
  <si>
    <t xml:space="preserve"> 제 8 조 ( 근로계약의 해지 ) </t>
    <phoneticPr fontId="5" type="noConversion"/>
  </si>
  <si>
    <t>'갑'은 '을'이 다음 각 호에 해당하는 때에는 근로계약기간 중이라도 중도에 해지할 수 있다.</t>
  </si>
  <si>
    <t>1. 업무수행능력이 현저히 부족하거나 업무를 태만히 한 때(계약기간 중 '갑'은 '을'의 업무적격성을 평가한다)</t>
    <phoneticPr fontId="5" type="noConversion"/>
  </si>
  <si>
    <t>2. 고의 또는 중대한 과실로 회사에 손해를 입혔을 때</t>
    <phoneticPr fontId="5" type="noConversion"/>
  </si>
  <si>
    <t>3. 업무(량)의 변화, 사업의 종료 등의 사유로 계약의 해지가 불가피한 때</t>
    <phoneticPr fontId="5" type="noConversion"/>
  </si>
  <si>
    <t>4. 입사시 제출한 학력이나 경력이 허위인 것으로 밝혀졌을 때</t>
    <phoneticPr fontId="5" type="noConversion"/>
  </si>
  <si>
    <t>5. 기타 사회통념상 근로관계의 계속이 곤란한 사유가 있는 때</t>
    <phoneticPr fontId="5" type="noConversion"/>
  </si>
  <si>
    <t xml:space="preserve">* 계속 5일 이상 또는 월 합계가 7일 이상 결근한 경우, 근로의사가 없는 것으로 간주 징계 절차없이 자동면직 한다. </t>
    <phoneticPr fontId="5" type="noConversion"/>
  </si>
  <si>
    <t xml:space="preserve">'갑'이 '을'과의 근로계약을 중도에 해지하고자 하는 경우 30일 이전에 예고하여야 하며, 계약의 해지 (해고)에 대해 그 사유와 시기를 </t>
  </si>
  <si>
    <t>명시하여 서면으로 통보하여야 한다.</t>
    <phoneticPr fontId="4" type="noConversion"/>
  </si>
  <si>
    <t xml:space="preserve">'을'이 계약기간 도중 사직하고자 하는 경우 최소 30일 전에 근로계약의 해지의사(사직원)를 '갑'에게 제출하여 승인을 받도록 하며, </t>
  </si>
  <si>
    <t>업무인수인계에 지장이 없도록 협조하여야 하며, 이로인해 손해가 발생한 경우 이를 배상하여야 한다.</t>
    <phoneticPr fontId="4" type="noConversion"/>
  </si>
  <si>
    <t>④</t>
    <phoneticPr fontId="5" type="noConversion"/>
  </si>
  <si>
    <t>을'은 퇴직 시 지급물품 및 비품 (출입카드, 법인카드, 사무용품 등)을 퇴직 당일 회사에 반납하여야 하며, 기타 '을'의 일방적인 계약</t>
    <phoneticPr fontId="4" type="noConversion"/>
  </si>
  <si>
    <t>해지로 '갑'에게 손해가 발생한 경우 이를 배상하여야 한다.</t>
    <phoneticPr fontId="5" type="noConversion"/>
  </si>
  <si>
    <t xml:space="preserve"> 제 9 조 ( 준수사항 ) </t>
    <phoneticPr fontId="15" type="noConversion"/>
  </si>
  <si>
    <t>을'은 다음 각호의 사항을 엄수하여야 하며, 이를 위반할 경우 계약기간 중에라도 해고될 수 있다.</t>
    <phoneticPr fontId="15" type="noConversion"/>
  </si>
  <si>
    <t>1. '을'은 직무 중 지득한 '갑'의 영업 기밀, 기타 사업과 관련된 주요 정보를 제3자에게 누설하여서는 아니된다.</t>
    <phoneticPr fontId="5" type="noConversion"/>
  </si>
  <si>
    <t xml:space="preserve">2. '을'은 자신의 연봉액에 대한 기밀을 유지하여야 하며, 타인의 연봉액을 알게 될 경우 회사의 승인없이 제3자에게 유출하여서는 </t>
    <phoneticPr fontId="5" type="noConversion"/>
  </si>
  <si>
    <t xml:space="preserve">    아니된다.</t>
    <phoneticPr fontId="5" type="noConversion"/>
  </si>
  <si>
    <t xml:space="preserve"> 제 10 조 ( 계약의 변경 ) </t>
    <phoneticPr fontId="5" type="noConversion"/>
  </si>
  <si>
    <t xml:space="preserve">갑'은 계약기간 중 계약 내용을 변경하여야 할 중대하고 명백한 사정이 있는 경우 '을'과의 협의로 근로계약의 내용을 변경할 수 있다. </t>
    <phoneticPr fontId="5" type="noConversion"/>
  </si>
  <si>
    <t xml:space="preserve"> 제 11 조 ( 손해배상 ) </t>
    <phoneticPr fontId="5" type="noConversion"/>
  </si>
  <si>
    <t>을'이 고의 또는 중대한 과실로 '갑'에게 손해를 끼친 경우 '을'은 이를 배상하여야 한다.</t>
    <phoneticPr fontId="5" type="noConversion"/>
  </si>
  <si>
    <t xml:space="preserve"> 제 12 조 ( 기타의 근로조건 )</t>
    <phoneticPr fontId="9" type="noConversion"/>
  </si>
  <si>
    <t xml:space="preserve">본 계약에서 정하지 아니한 사항에 대하여는 노동관계법령 및 취업규칙의 내용에 따른다. </t>
    <phoneticPr fontId="9" type="noConversion"/>
  </si>
  <si>
    <t xml:space="preserve"> 본 계약서는 근로자와 사용자가 날인한 후 '갑'과 '을'이 각 1부씩 보관한다.</t>
    <phoneticPr fontId="5" type="noConversion"/>
  </si>
  <si>
    <t>성   명</t>
    <phoneticPr fontId="5" type="noConversion"/>
  </si>
  <si>
    <t>개인연락처</t>
    <phoneticPr fontId="4" type="noConversion"/>
  </si>
  <si>
    <t>주민등록 No.</t>
    <phoneticPr fontId="9" type="noConversion"/>
  </si>
  <si>
    <t>주   소</t>
    <phoneticPr fontId="5" type="noConversion"/>
  </si>
  <si>
    <t xml:space="preserve"> '갑'  : ㈜성원애드피아 대표이사 </t>
    <phoneticPr fontId="5" type="noConversion"/>
  </si>
  <si>
    <t xml:space="preserve"> '을'  :    근      로      자</t>
    <phoneticPr fontId="5" type="noConversion"/>
  </si>
  <si>
    <t>정대원</t>
    <phoneticPr fontId="5" type="noConversion"/>
  </si>
  <si>
    <t xml:space="preserve">(서명 또는 인)     </t>
    <phoneticPr fontId="4" type="noConversion"/>
  </si>
  <si>
    <t>성수사옥</t>
    <phoneticPr fontId="4" type="noConversion"/>
  </si>
  <si>
    <t>생산파트</t>
    <phoneticPr fontId="4" type="noConversion"/>
  </si>
  <si>
    <t>29시간</t>
    <phoneticPr fontId="4" type="noConversion"/>
  </si>
  <si>
    <t>경영지원팀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</si>
</sst>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yy&quot;/&quot;m&quot;/&quot;d;@"/>
    <numFmt numFmtId="178" formatCode="_-* #,##0.0_-;\-* #,##0.0_-;_-* &quot;-&quot;?_-;_-@_-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26"/>
      <name val="휴먼엑스포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1"/>
      <color indexed="8"/>
      <name val="Calibri"/>
      <family val="2"/>
    </font>
    <font>
      <b/>
      <u/>
      <sz val="10"/>
      <name val="굴림"/>
      <family val="3"/>
      <charset val="129"/>
    </font>
    <font>
      <i/>
      <sz val="9"/>
      <name val="굴림"/>
      <family val="3"/>
      <charset val="129"/>
    </font>
    <font>
      <sz val="9"/>
      <name val="굴림"/>
      <family val="3"/>
      <charset val="129"/>
    </font>
    <font>
      <b/>
      <u val="singleAccounting"/>
      <sz val="9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indexed="8"/>
      <name val="Calibri"/>
      <family val="2"/>
      <charset val="129"/>
    </font>
    <font>
      <b/>
      <sz val="11"/>
      <name val="굴림"/>
      <family val="3"/>
      <charset val="129"/>
    </font>
    <font>
      <i/>
      <sz val="12"/>
      <name val="굴림"/>
      <family val="3"/>
      <charset val="129"/>
    </font>
    <font>
      <b/>
      <sz val="12"/>
      <name val="굴림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14">
    <xf numFmtId="0" fontId="0" fillId="0" borderId="0" xfId="0">
      <alignment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6" fillId="0" borderId="1" xfId="2" applyFont="1" applyBorder="1">
      <alignment vertical="center"/>
    </xf>
    <xf numFmtId="0" fontId="7" fillId="0" borderId="2" xfId="2" applyFont="1" applyBorder="1" applyAlignment="1">
      <alignment horizontal="center" vertical="center"/>
    </xf>
    <xf numFmtId="0" fontId="8" fillId="0" borderId="2" xfId="2" applyFont="1" applyBorder="1" applyAlignment="1">
      <alignment horizontal="left" vertical="center"/>
    </xf>
    <xf numFmtId="0" fontId="6" fillId="0" borderId="2" xfId="2" applyFont="1" applyBorder="1">
      <alignment vertical="center"/>
    </xf>
    <xf numFmtId="0" fontId="6" fillId="0" borderId="3" xfId="2" applyFont="1" applyBorder="1">
      <alignment vertical="center"/>
    </xf>
    <xf numFmtId="0" fontId="6" fillId="0" borderId="7" xfId="2" applyFont="1" applyBorder="1">
      <alignment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0" fontId="6" fillId="0" borderId="0" xfId="2" applyFont="1">
      <alignment vertical="center"/>
    </xf>
    <xf numFmtId="0" fontId="1" fillId="0" borderId="0" xfId="3" applyAlignment="1">
      <alignment horizontal="center" vertical="center"/>
    </xf>
    <xf numFmtId="0" fontId="6" fillId="0" borderId="8" xfId="2" applyFont="1" applyBorder="1">
      <alignment vertical="center"/>
    </xf>
    <xf numFmtId="0" fontId="7" fillId="0" borderId="0" xfId="2" applyFont="1" applyAlignment="1">
      <alignment horizontal="center" vertical="center"/>
    </xf>
    <xf numFmtId="0" fontId="7" fillId="0" borderId="0" xfId="2" applyFont="1">
      <alignment vertical="center"/>
    </xf>
    <xf numFmtId="0" fontId="8" fillId="0" borderId="0" xfId="2" quotePrefix="1" applyFont="1">
      <alignment vertical="center"/>
    </xf>
    <xf numFmtId="14" fontId="10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4" fontId="8" fillId="0" borderId="0" xfId="2" applyNumberFormat="1" applyFont="1">
      <alignment vertical="center"/>
    </xf>
    <xf numFmtId="0" fontId="8" fillId="0" borderId="0" xfId="3" applyFont="1">
      <alignment vertical="center"/>
    </xf>
    <xf numFmtId="176" fontId="8" fillId="0" borderId="0" xfId="2" applyNumberFormat="1" applyFont="1">
      <alignment vertical="center"/>
    </xf>
    <xf numFmtId="0" fontId="8" fillId="0" borderId="0" xfId="2" applyFont="1" applyAlignment="1">
      <alignment vertical="center" wrapText="1"/>
    </xf>
    <xf numFmtId="0" fontId="2" fillId="0" borderId="0" xfId="2">
      <alignment vertical="center"/>
    </xf>
    <xf numFmtId="0" fontId="6" fillId="0" borderId="8" xfId="2" applyFont="1" applyBorder="1" applyAlignment="1">
      <alignment vertical="center" wrapText="1"/>
    </xf>
    <xf numFmtId="14" fontId="10" fillId="0" borderId="0" xfId="2" applyNumberFormat="1" applyFont="1">
      <alignment vertical="center"/>
    </xf>
    <xf numFmtId="0" fontId="11" fillId="0" borderId="0" xfId="2" applyFont="1">
      <alignment vertical="center"/>
    </xf>
    <xf numFmtId="0" fontId="8" fillId="0" borderId="0" xfId="2" applyFont="1" applyAlignment="1">
      <alignment horizontal="center" vertical="center" wrapText="1"/>
    </xf>
    <xf numFmtId="0" fontId="10" fillId="0" borderId="0" xfId="2" applyFont="1">
      <alignment vertical="center"/>
    </xf>
    <xf numFmtId="0" fontId="8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 vertical="center"/>
    </xf>
    <xf numFmtId="0" fontId="8" fillId="0" borderId="8" xfId="2" applyFont="1" applyBorder="1" applyAlignment="1">
      <alignment vertical="center" wrapText="1"/>
    </xf>
    <xf numFmtId="0" fontId="8" fillId="0" borderId="0" xfId="2" applyFont="1" applyAlignment="1">
      <alignment horizontal="left" vertical="center" wrapText="1"/>
    </xf>
    <xf numFmtId="0" fontId="6" fillId="2" borderId="9" xfId="2" applyFont="1" applyFill="1" applyBorder="1" applyAlignment="1">
      <alignment horizontal="center" vertical="center"/>
    </xf>
    <xf numFmtId="0" fontId="7" fillId="2" borderId="9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vertical="center" wrapText="1"/>
    </xf>
    <xf numFmtId="0" fontId="8" fillId="0" borderId="9" xfId="2" applyFont="1" applyBorder="1" applyAlignment="1">
      <alignment horizontal="center" vertical="center"/>
    </xf>
    <xf numFmtId="20" fontId="12" fillId="0" borderId="9" xfId="2" applyNumberFormat="1" applyFont="1" applyBorder="1" applyAlignment="1">
      <alignment horizontal="center" vertical="center" shrinkToFit="1"/>
    </xf>
    <xf numFmtId="0" fontId="12" fillId="0" borderId="10" xfId="2" applyFont="1" applyBorder="1" applyAlignment="1">
      <alignment horizontal="center" vertical="center" shrinkToFit="1"/>
    </xf>
    <xf numFmtId="0" fontId="12" fillId="0" borderId="11" xfId="2" applyFont="1" applyBorder="1" applyAlignment="1">
      <alignment horizontal="center" vertical="center" shrinkToFit="1"/>
    </xf>
    <xf numFmtId="0" fontId="12" fillId="0" borderId="12" xfId="2" applyFont="1" applyBorder="1" applyAlignment="1">
      <alignment horizontal="center" vertical="center" shrinkToFit="1"/>
    </xf>
    <xf numFmtId="20" fontId="8" fillId="0" borderId="9" xfId="2" applyNumberFormat="1" applyFont="1" applyBorder="1" applyAlignment="1">
      <alignment horizontal="center" vertical="center" shrinkToFit="1"/>
    </xf>
    <xf numFmtId="0" fontId="12" fillId="0" borderId="9" xfId="2" applyFont="1" applyBorder="1" applyAlignment="1">
      <alignment horizontal="center" vertical="center" shrinkToFit="1"/>
    </xf>
    <xf numFmtId="20" fontId="12" fillId="0" borderId="0" xfId="2" applyNumberFormat="1" applyFont="1" applyAlignment="1">
      <alignment horizontal="center" vertical="center" shrinkToFit="1"/>
    </xf>
    <xf numFmtId="0" fontId="12" fillId="0" borderId="0" xfId="2" applyFont="1" applyAlignment="1">
      <alignment horizontal="center" vertical="center" shrinkToFit="1"/>
    </xf>
    <xf numFmtId="0" fontId="7" fillId="0" borderId="0" xfId="2" applyFont="1" applyAlignment="1">
      <alignment horizontal="center" vertical="center" wrapText="1"/>
    </xf>
    <xf numFmtId="0" fontId="8" fillId="0" borderId="0" xfId="2" quotePrefix="1" applyFont="1" applyAlignment="1">
      <alignment horizontal="left" vertical="center"/>
    </xf>
    <xf numFmtId="0" fontId="8" fillId="0" borderId="8" xfId="2" applyFont="1" applyBorder="1" applyAlignment="1">
      <alignment horizontal="left" vertical="center" wrapText="1"/>
    </xf>
    <xf numFmtId="0" fontId="7" fillId="0" borderId="0" xfId="2" applyFont="1" applyAlignment="1">
      <alignment vertical="center" wrapText="1"/>
    </xf>
    <xf numFmtId="0" fontId="7" fillId="0" borderId="0" xfId="2" applyFont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41" fontId="13" fillId="0" borderId="0" xfId="1" applyFont="1" applyAlignment="1">
      <alignment horizontal="right" vertical="center"/>
    </xf>
    <xf numFmtId="0" fontId="12" fillId="0" borderId="0" xfId="2" applyFont="1">
      <alignment vertical="center"/>
    </xf>
    <xf numFmtId="41" fontId="13" fillId="0" borderId="0" xfId="2" applyNumberFormat="1" applyFont="1" applyAlignment="1">
      <alignment horizontal="right" vertical="center"/>
    </xf>
    <xf numFmtId="41" fontId="13" fillId="0" borderId="0" xfId="2" applyNumberFormat="1" applyFont="1" applyAlignment="1">
      <alignment horizontal="center" vertical="center"/>
    </xf>
    <xf numFmtId="0" fontId="7" fillId="2" borderId="9" xfId="2" applyFont="1" applyFill="1" applyBorder="1" applyAlignment="1">
      <alignment horizontal="center" vertical="center"/>
    </xf>
    <xf numFmtId="41" fontId="7" fillId="2" borderId="9" xfId="2" applyNumberFormat="1" applyFon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41" fontId="8" fillId="0" borderId="9" xfId="2" applyNumberFormat="1" applyFont="1" applyBorder="1" applyAlignment="1">
      <alignment horizontal="center" vertical="center"/>
    </xf>
    <xf numFmtId="41" fontId="8" fillId="0" borderId="9" xfId="1" applyFont="1" applyBorder="1" applyAlignment="1">
      <alignment horizontal="center" vertical="center"/>
    </xf>
    <xf numFmtId="41" fontId="7" fillId="0" borderId="9" xfId="2" applyNumberFormat="1" applyFont="1" applyBorder="1" applyAlignment="1">
      <alignment horizontal="center" vertical="center"/>
    </xf>
    <xf numFmtId="41" fontId="14" fillId="0" borderId="10" xfId="2" applyNumberFormat="1" applyFont="1" applyBorder="1" applyAlignment="1">
      <alignment horizontal="center" vertical="center"/>
    </xf>
    <xf numFmtId="41" fontId="14" fillId="0" borderId="11" xfId="2" applyNumberFormat="1" applyFont="1" applyBorder="1" applyAlignment="1">
      <alignment horizontal="center" vertical="center"/>
    </xf>
    <xf numFmtId="41" fontId="14" fillId="0" borderId="12" xfId="2" applyNumberFormat="1" applyFont="1" applyBorder="1" applyAlignment="1">
      <alignment horizontal="center" vertical="center"/>
    </xf>
    <xf numFmtId="178" fontId="8" fillId="0" borderId="10" xfId="2" applyNumberFormat="1" applyFont="1" applyBorder="1" applyAlignment="1">
      <alignment horizontal="center" vertical="center" wrapText="1"/>
    </xf>
    <xf numFmtId="178" fontId="8" fillId="0" borderId="11" xfId="2" applyNumberFormat="1" applyFont="1" applyBorder="1" applyAlignment="1">
      <alignment horizontal="center" vertical="center"/>
    </xf>
    <xf numFmtId="178" fontId="8" fillId="0" borderId="12" xfId="2" applyNumberFormat="1" applyFont="1" applyBorder="1" applyAlignment="1">
      <alignment horizontal="center" vertical="center"/>
    </xf>
    <xf numFmtId="41" fontId="8" fillId="0" borderId="10" xfId="2" applyNumberFormat="1" applyFont="1" applyBorder="1" applyAlignment="1">
      <alignment horizontal="center" vertical="center"/>
    </xf>
    <xf numFmtId="41" fontId="8" fillId="0" borderId="11" xfId="2" applyNumberFormat="1" applyFont="1" applyBorder="1" applyAlignment="1">
      <alignment horizontal="center" vertical="center"/>
    </xf>
    <xf numFmtId="41" fontId="8" fillId="0" borderId="12" xfId="2" applyNumberFormat="1" applyFont="1" applyBorder="1" applyAlignment="1">
      <alignment horizontal="center" vertical="center"/>
    </xf>
    <xf numFmtId="41" fontId="7" fillId="0" borderId="10" xfId="2" applyNumberFormat="1" applyFont="1" applyBorder="1" applyAlignment="1">
      <alignment horizontal="center" vertical="center"/>
    </xf>
    <xf numFmtId="41" fontId="7" fillId="0" borderId="11" xfId="2" applyNumberFormat="1" applyFont="1" applyBorder="1" applyAlignment="1">
      <alignment horizontal="center" vertical="center"/>
    </xf>
    <xf numFmtId="41" fontId="7" fillId="0" borderId="12" xfId="2" applyNumberFormat="1" applyFont="1" applyBorder="1" applyAlignment="1">
      <alignment horizontal="center" vertical="center"/>
    </xf>
    <xf numFmtId="0" fontId="6" fillId="0" borderId="7" xfId="2" applyFont="1" applyBorder="1" applyAlignment="1">
      <alignment horizontal="left" vertical="top"/>
    </xf>
    <xf numFmtId="0" fontId="11" fillId="0" borderId="0" xfId="2" applyFont="1" applyAlignment="1">
      <alignment horizontal="left" vertical="top"/>
    </xf>
    <xf numFmtId="0" fontId="6" fillId="0" borderId="8" xfId="2" applyFont="1" applyBorder="1" applyAlignment="1">
      <alignment horizontal="left" vertical="top"/>
    </xf>
    <xf numFmtId="0" fontId="8" fillId="3" borderId="0" xfId="2" applyFont="1" applyFill="1" applyAlignment="1">
      <alignment horizontal="left" vertical="center" wrapText="1"/>
    </xf>
    <xf numFmtId="0" fontId="8" fillId="0" borderId="0" xfId="2" applyFont="1" applyAlignment="1">
      <alignment horizontal="justify" vertical="center"/>
    </xf>
    <xf numFmtId="0" fontId="8" fillId="0" borderId="0" xfId="2" quotePrefix="1" applyFont="1" applyAlignment="1">
      <alignment horizontal="left" vertical="center" wrapText="1"/>
    </xf>
    <xf numFmtId="0" fontId="6" fillId="0" borderId="4" xfId="2" applyFont="1" applyBorder="1">
      <alignment vertical="center"/>
    </xf>
    <xf numFmtId="0" fontId="6" fillId="0" borderId="5" xfId="2" applyFont="1" applyBorder="1">
      <alignment vertical="center"/>
    </xf>
    <xf numFmtId="0" fontId="8" fillId="0" borderId="5" xfId="2" applyFont="1" applyBorder="1" applyAlignment="1">
      <alignment horizontal="left" vertical="center" wrapText="1"/>
    </xf>
    <xf numFmtId="0" fontId="6" fillId="0" borderId="6" xfId="2" applyFont="1" applyBorder="1">
      <alignment vertical="center"/>
    </xf>
    <xf numFmtId="0" fontId="6" fillId="0" borderId="0" xfId="2" applyFont="1" applyAlignment="1">
      <alignment horizontal="center" vertical="center"/>
    </xf>
    <xf numFmtId="0" fontId="8" fillId="0" borderId="8" xfId="2" quotePrefix="1" applyFont="1" applyBorder="1" applyAlignment="1">
      <alignment horizontal="left" vertical="center" wrapText="1"/>
    </xf>
    <xf numFmtId="0" fontId="8" fillId="0" borderId="0" xfId="2" quotePrefix="1" applyFont="1" applyAlignment="1">
      <alignment horizontal="left" vertical="center" wrapText="1"/>
    </xf>
    <xf numFmtId="0" fontId="8" fillId="0" borderId="8" xfId="2" quotePrefix="1" applyFont="1" applyBorder="1" applyAlignment="1">
      <alignment horizontal="left" vertical="center" wrapText="1"/>
    </xf>
    <xf numFmtId="0" fontId="16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179" fontId="7" fillId="0" borderId="0" xfId="2" quotePrefix="1" applyNumberFormat="1" applyFont="1" applyAlignment="1">
      <alignment horizontal="left" vertical="center"/>
    </xf>
    <xf numFmtId="179" fontId="8" fillId="0" borderId="0" xfId="2" quotePrefix="1" applyNumberFormat="1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7" fillId="0" borderId="10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17" fillId="0" borderId="10" xfId="2" applyFont="1" applyBorder="1" applyAlignment="1">
      <alignment horizontal="center" vertical="center"/>
    </xf>
    <xf numFmtId="0" fontId="17" fillId="0" borderId="11" xfId="2" applyFont="1" applyBorder="1" applyAlignment="1">
      <alignment horizontal="center" vertical="center"/>
    </xf>
    <xf numFmtId="0" fontId="17" fillId="0" borderId="12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7" fillId="0" borderId="8" xfId="2" applyFont="1" applyBorder="1" applyAlignment="1">
      <alignment horizontal="center" vertical="center"/>
    </xf>
    <xf numFmtId="179" fontId="7" fillId="0" borderId="7" xfId="2" applyNumberFormat="1" applyFont="1" applyBorder="1" applyAlignment="1">
      <alignment horizontal="center" vertical="center"/>
    </xf>
    <xf numFmtId="179" fontId="7" fillId="0" borderId="0" xfId="2" applyNumberFormat="1" applyFont="1" applyAlignment="1">
      <alignment horizontal="center" vertical="center"/>
    </xf>
    <xf numFmtId="179" fontId="7" fillId="0" borderId="8" xfId="2" applyNumberFormat="1" applyFont="1" applyBorder="1" applyAlignment="1">
      <alignment horizontal="center" vertical="center"/>
    </xf>
    <xf numFmtId="0" fontId="18" fillId="0" borderId="10" xfId="2" applyFont="1" applyBorder="1" applyAlignment="1">
      <alignment horizontal="center" vertical="center"/>
    </xf>
    <xf numFmtId="0" fontId="18" fillId="0" borderId="11" xfId="2" applyFont="1" applyBorder="1" applyAlignment="1">
      <alignment horizontal="center" vertical="center"/>
    </xf>
    <xf numFmtId="0" fontId="7" fillId="0" borderId="11" xfId="2" applyFont="1" applyBorder="1" applyAlignment="1">
      <alignment horizontal="right" vertical="center"/>
    </xf>
    <xf numFmtId="0" fontId="7" fillId="0" borderId="12" xfId="2" applyFont="1" applyBorder="1" applyAlignment="1">
      <alignment horizontal="right"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</cellXfs>
  <cellStyles count="4">
    <cellStyle name="쉼표 [0]" xfId="1" builtinId="6"/>
    <cellStyle name="표준" xfId="0" builtinId="0"/>
    <cellStyle name="표준 3 2" xfId="2" xr:uid="{337D1A49-38A3-4617-BEFC-A3079E29ADE0}"/>
    <cellStyle name="표준 7" xfId="3" xr:uid="{C12643D1-6A9C-4E99-A078-B7C6C44870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352424</xdr:colOff>
      <xdr:row>104</xdr:row>
      <xdr:rowOff>57148</xdr:rowOff>
    </xdr:from>
    <xdr:ext cx="2731771" cy="517977"/>
    <xdr:pic>
      <xdr:nvPicPr>
        <xdr:cNvPr id="2" name="그림 1">
          <a:extLst>
            <a:ext uri="{FF2B5EF4-FFF2-40B4-BE49-F238E27FC236}">
              <a16:creationId xmlns:a16="http://schemas.microsoft.com/office/drawing/2014/main" id="{1AE3E74E-9D8D-49B6-AFA1-43E0F7214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49" y="20897848"/>
          <a:ext cx="2731771" cy="5179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352424</xdr:colOff>
      <xdr:row>104</xdr:row>
      <xdr:rowOff>57148</xdr:rowOff>
    </xdr:from>
    <xdr:ext cx="2731771" cy="517977"/>
    <xdr:pic>
      <xdr:nvPicPr>
        <xdr:cNvPr id="2" name="그림 1">
          <a:extLst>
            <a:ext uri="{FF2B5EF4-FFF2-40B4-BE49-F238E27FC236}">
              <a16:creationId xmlns:a16="http://schemas.microsoft.com/office/drawing/2014/main" id="{9FC47BE9-3E25-46C8-B35F-062C36C6A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024" y="21850348"/>
          <a:ext cx="2731771" cy="5179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8238-A092-4051-AAC3-9958034EC4AB}">
  <dimension ref="A1:S108"/>
  <sheetViews>
    <sheetView tabSelected="1" topLeftCell="A7" workbookViewId="0">
      <selection activeCell="W24" sqref="W24"/>
    </sheetView>
  </sheetViews>
  <sheetFormatPr defaultRowHeight="16.5" x14ac:dyDescent="0.3"/>
  <cols>
    <col min="1" max="1" width="3" customWidth="1"/>
    <col min="17" max="17" width="4.75" customWidth="1"/>
    <col min="19" max="19" width="10.875" bestFit="1" customWidth="1"/>
  </cols>
  <sheetData>
    <row r="1" spans="1:17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1:17" x14ac:dyDescent="0.3">
      <c r="A3" s="7"/>
      <c r="B3" s="8"/>
      <c r="C3" s="8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x14ac:dyDescent="0.3">
      <c r="A4" s="12"/>
      <c r="B4" s="13" t="s">
        <v>1</v>
      </c>
      <c r="C4" s="13"/>
      <c r="D4" s="13"/>
      <c r="E4" s="13"/>
      <c r="F4" s="14"/>
      <c r="G4" s="15"/>
      <c r="H4" s="16"/>
      <c r="I4" s="16"/>
      <c r="J4" s="13" t="s">
        <v>2</v>
      </c>
      <c r="K4" s="13"/>
      <c r="L4" s="13"/>
      <c r="M4" s="15"/>
      <c r="N4" s="15"/>
      <c r="O4" s="15"/>
      <c r="P4" s="15"/>
      <c r="Q4" s="17"/>
    </row>
    <row r="5" spans="1:17" x14ac:dyDescent="0.3">
      <c r="A5" s="12"/>
      <c r="B5" s="13" t="s">
        <v>3</v>
      </c>
      <c r="C5" s="15"/>
      <c r="D5" s="13"/>
      <c r="E5" s="13"/>
      <c r="F5" s="13"/>
      <c r="G5" s="13"/>
      <c r="H5" s="13"/>
      <c r="I5" s="13"/>
      <c r="J5" s="13"/>
      <c r="K5" s="13"/>
      <c r="L5" s="15"/>
      <c r="M5" s="15"/>
      <c r="N5" s="15"/>
      <c r="O5" s="15"/>
      <c r="P5" s="15"/>
      <c r="Q5" s="17"/>
    </row>
    <row r="6" spans="1:17" x14ac:dyDescent="0.3">
      <c r="A6" s="12"/>
      <c r="B6" s="13"/>
      <c r="C6" s="15"/>
      <c r="D6" s="13"/>
      <c r="E6" s="13"/>
      <c r="F6" s="13"/>
      <c r="G6" s="13"/>
      <c r="H6" s="13"/>
      <c r="I6" s="13"/>
      <c r="J6" s="13"/>
      <c r="K6" s="13"/>
      <c r="L6" s="15"/>
      <c r="M6" s="15"/>
      <c r="N6" s="15"/>
      <c r="O6" s="15"/>
      <c r="P6" s="15"/>
      <c r="Q6" s="17"/>
    </row>
    <row r="7" spans="1:17" x14ac:dyDescent="0.3">
      <c r="A7" s="12"/>
      <c r="B7" s="15"/>
      <c r="C7" s="13"/>
      <c r="D7" s="13"/>
      <c r="E7" s="13"/>
      <c r="F7" s="13"/>
      <c r="G7" s="18" t="s">
        <v>4</v>
      </c>
      <c r="H7" s="18"/>
      <c r="I7" s="18"/>
      <c r="J7" s="18"/>
      <c r="K7" s="18"/>
      <c r="L7" s="18"/>
      <c r="M7" s="15"/>
      <c r="N7" s="15"/>
      <c r="O7" s="15"/>
      <c r="P7" s="15"/>
      <c r="Q7" s="17"/>
    </row>
    <row r="8" spans="1:17" x14ac:dyDescent="0.3">
      <c r="A8" s="12"/>
      <c r="B8" s="19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15"/>
      <c r="M8" s="15"/>
      <c r="N8" s="15"/>
      <c r="O8" s="15"/>
      <c r="P8" s="15"/>
      <c r="Q8" s="17"/>
    </row>
    <row r="9" spans="1:17" x14ac:dyDescent="0.3">
      <c r="A9" s="12"/>
      <c r="B9" s="13"/>
      <c r="C9" s="14" t="s">
        <v>6</v>
      </c>
      <c r="D9" s="20" t="s">
        <v>7</v>
      </c>
      <c r="E9" s="13"/>
      <c r="F9" s="15"/>
      <c r="G9" s="21">
        <v>46204</v>
      </c>
      <c r="H9" s="21"/>
      <c r="I9" s="22" t="s">
        <v>8</v>
      </c>
      <c r="J9" s="23" t="s">
        <v>9</v>
      </c>
      <c r="K9" s="23"/>
      <c r="L9" s="23"/>
      <c r="M9" s="23"/>
      <c r="N9" s="24"/>
      <c r="O9" s="25"/>
      <c r="P9" s="25"/>
      <c r="Q9" s="17"/>
    </row>
    <row r="10" spans="1:17" x14ac:dyDescent="0.3">
      <c r="A10" s="12"/>
      <c r="B10" s="13"/>
      <c r="C10" s="26"/>
      <c r="D10" s="27" t="s">
        <v>10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8"/>
    </row>
    <row r="11" spans="1:17" x14ac:dyDescent="0.3">
      <c r="A11" s="12"/>
      <c r="B11" s="13"/>
      <c r="C11" s="14" t="s">
        <v>11</v>
      </c>
      <c r="D11" s="20" t="s">
        <v>12</v>
      </c>
      <c r="E11" s="13"/>
      <c r="F11" s="15"/>
      <c r="G11" s="21">
        <f>+G9</f>
        <v>46204</v>
      </c>
      <c r="H11" s="21"/>
      <c r="I11" s="22" t="s">
        <v>8</v>
      </c>
      <c r="J11" s="21">
        <f>+G9-1</f>
        <v>46203</v>
      </c>
      <c r="K11" s="21"/>
      <c r="L11" s="13" t="s">
        <v>13</v>
      </c>
      <c r="M11" s="29"/>
      <c r="N11" s="13"/>
      <c r="O11" s="15"/>
      <c r="P11" s="15"/>
      <c r="Q11" s="17"/>
    </row>
    <row r="12" spans="1:17" x14ac:dyDescent="0.3">
      <c r="A12" s="12"/>
      <c r="B12" s="13"/>
      <c r="C12" s="13"/>
      <c r="D12" s="30" t="s">
        <v>14</v>
      </c>
      <c r="E12" s="13"/>
      <c r="F12" s="13"/>
      <c r="G12" s="13"/>
      <c r="H12" s="13"/>
      <c r="I12" s="13"/>
      <c r="J12" s="13"/>
      <c r="K12" s="13"/>
      <c r="L12" s="15"/>
      <c r="M12" s="15"/>
      <c r="N12" s="15"/>
      <c r="O12" s="15"/>
      <c r="P12" s="15"/>
      <c r="Q12" s="17"/>
    </row>
    <row r="13" spans="1:17" x14ac:dyDescent="0.3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5"/>
      <c r="M13" s="15"/>
      <c r="N13" s="15"/>
      <c r="O13" s="15"/>
      <c r="P13" s="15"/>
      <c r="Q13" s="17"/>
    </row>
    <row r="14" spans="1:17" x14ac:dyDescent="0.3">
      <c r="A14" s="12"/>
      <c r="B14" s="19" t="s">
        <v>15</v>
      </c>
      <c r="C14" s="13"/>
      <c r="D14" s="13"/>
      <c r="E14" s="13"/>
      <c r="F14" s="13"/>
      <c r="G14" s="13"/>
      <c r="H14" s="13"/>
      <c r="I14" s="13"/>
      <c r="J14" s="13"/>
      <c r="K14" s="13"/>
      <c r="L14" s="15"/>
      <c r="M14" s="15"/>
      <c r="N14" s="15"/>
      <c r="O14" s="15"/>
      <c r="P14" s="15"/>
      <c r="Q14" s="17"/>
    </row>
    <row r="15" spans="1:17" x14ac:dyDescent="0.3">
      <c r="A15" s="12"/>
      <c r="B15" s="19"/>
      <c r="C15" s="31" t="s">
        <v>6</v>
      </c>
      <c r="D15" s="13" t="s">
        <v>16</v>
      </c>
      <c r="E15" s="13"/>
      <c r="F15" s="15"/>
      <c r="G15" s="32" t="s">
        <v>107</v>
      </c>
      <c r="H15" s="32"/>
      <c r="I15" s="13" t="s">
        <v>17</v>
      </c>
      <c r="J15" s="32" t="s">
        <v>110</v>
      </c>
      <c r="K15" s="13"/>
      <c r="L15" s="13" t="s">
        <v>18</v>
      </c>
      <c r="M15" s="32"/>
      <c r="N15" s="32"/>
      <c r="O15" s="13"/>
      <c r="P15" s="15"/>
      <c r="Q15" s="17"/>
    </row>
    <row r="16" spans="1:17" x14ac:dyDescent="0.3">
      <c r="A16" s="12"/>
      <c r="B16" s="13"/>
      <c r="C16" s="31" t="s">
        <v>11</v>
      </c>
      <c r="D16" s="13" t="s">
        <v>19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17"/>
    </row>
    <row r="17" spans="1:17" x14ac:dyDescent="0.3">
      <c r="A17" s="12"/>
      <c r="B17" s="1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17"/>
    </row>
    <row r="18" spans="1:17" x14ac:dyDescent="0.3">
      <c r="A18" s="12"/>
      <c r="B18" s="19" t="s">
        <v>20</v>
      </c>
      <c r="C18" s="13"/>
      <c r="D18" s="13"/>
      <c r="E18" s="13"/>
      <c r="F18" s="13"/>
      <c r="G18" s="13"/>
      <c r="H18" s="13"/>
      <c r="I18" s="13"/>
      <c r="J18" s="13"/>
      <c r="K18" s="13"/>
      <c r="L18" s="15"/>
      <c r="M18" s="15"/>
      <c r="N18" s="15"/>
      <c r="O18" s="15"/>
      <c r="P18" s="15"/>
      <c r="Q18" s="17"/>
    </row>
    <row r="19" spans="1:17" x14ac:dyDescent="0.3">
      <c r="A19" s="12"/>
      <c r="B19" s="19"/>
      <c r="C19" s="31" t="s">
        <v>6</v>
      </c>
      <c r="D19" s="34" t="s">
        <v>21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17"/>
    </row>
    <row r="20" spans="1:17" x14ac:dyDescent="0.3">
      <c r="A20" s="12"/>
      <c r="B20" s="19"/>
      <c r="C20" s="31" t="s">
        <v>11</v>
      </c>
      <c r="D20" s="34" t="s">
        <v>22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</row>
    <row r="21" spans="1:17" x14ac:dyDescent="0.3">
      <c r="A21" s="12"/>
      <c r="B21" s="19"/>
      <c r="C21" s="26"/>
      <c r="D21" s="36" t="s">
        <v>23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17"/>
    </row>
    <row r="22" spans="1:17" x14ac:dyDescent="0.3">
      <c r="A22" s="12"/>
      <c r="B22" s="19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17"/>
    </row>
    <row r="23" spans="1:17" x14ac:dyDescent="0.3">
      <c r="A23" s="12"/>
      <c r="B23" s="19"/>
      <c r="C23" s="37" t="s">
        <v>24</v>
      </c>
      <c r="D23" s="37"/>
      <c r="E23" s="38" t="s">
        <v>25</v>
      </c>
      <c r="F23" s="38"/>
      <c r="G23" s="38"/>
      <c r="H23" s="38" t="s">
        <v>26</v>
      </c>
      <c r="I23" s="38"/>
      <c r="J23" s="38"/>
      <c r="K23" s="38" t="s">
        <v>27</v>
      </c>
      <c r="L23" s="38"/>
      <c r="M23" s="38"/>
      <c r="N23" s="38"/>
      <c r="O23" s="38"/>
      <c r="P23" s="38"/>
      <c r="Q23" s="39"/>
    </row>
    <row r="24" spans="1:17" x14ac:dyDescent="0.3">
      <c r="A24" s="12"/>
      <c r="B24" s="19"/>
      <c r="C24" s="40" t="s">
        <v>28</v>
      </c>
      <c r="D24" s="40"/>
      <c r="E24" s="41">
        <v>0.375</v>
      </c>
      <c r="F24" s="41"/>
      <c r="G24" s="41"/>
      <c r="H24" s="41">
        <v>0.75</v>
      </c>
      <c r="I24" s="41"/>
      <c r="J24" s="41"/>
      <c r="K24" s="42" t="s">
        <v>29</v>
      </c>
      <c r="L24" s="43"/>
      <c r="M24" s="43"/>
      <c r="N24" s="43"/>
      <c r="O24" s="43"/>
      <c r="P24" s="44"/>
      <c r="Q24" s="17"/>
    </row>
    <row r="25" spans="1:17" x14ac:dyDescent="0.3">
      <c r="A25" s="12"/>
      <c r="B25" s="19"/>
      <c r="C25" s="45" t="s">
        <v>30</v>
      </c>
      <c r="D25" s="45"/>
      <c r="E25" s="41"/>
      <c r="F25" s="46"/>
      <c r="G25" s="46"/>
      <c r="H25" s="41"/>
      <c r="I25" s="46"/>
      <c r="J25" s="46"/>
      <c r="K25" s="42"/>
      <c r="L25" s="43"/>
      <c r="M25" s="43"/>
      <c r="N25" s="43"/>
      <c r="O25" s="43"/>
      <c r="P25" s="44"/>
      <c r="Q25" s="17"/>
    </row>
    <row r="26" spans="1:17" x14ac:dyDescent="0.3">
      <c r="A26" s="12"/>
      <c r="B26" s="19"/>
      <c r="C26" s="33"/>
      <c r="D26" s="47"/>
      <c r="E26" s="48"/>
      <c r="F26" s="48"/>
      <c r="G26" s="47"/>
      <c r="H26" s="48"/>
      <c r="I26" s="48"/>
      <c r="J26" s="48"/>
      <c r="K26" s="48"/>
      <c r="L26" s="48"/>
      <c r="M26" s="48"/>
      <c r="N26" s="48"/>
      <c r="O26" s="49"/>
      <c r="P26" s="49"/>
      <c r="Q26" s="17"/>
    </row>
    <row r="27" spans="1:17" x14ac:dyDescent="0.3">
      <c r="A27" s="12"/>
      <c r="B27" s="19"/>
      <c r="C27" s="14" t="s">
        <v>31</v>
      </c>
      <c r="D27" s="50" t="s">
        <v>32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35"/>
    </row>
    <row r="28" spans="1:17" x14ac:dyDescent="0.3">
      <c r="A28" s="12"/>
      <c r="B28" s="19"/>
      <c r="C28" s="26"/>
      <c r="D28" s="36" t="s">
        <v>33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51"/>
    </row>
    <row r="29" spans="1:17" x14ac:dyDescent="0.3">
      <c r="A29" s="12"/>
      <c r="B29" s="19"/>
      <c r="C29" s="49"/>
      <c r="D29" s="52"/>
      <c r="E29" s="52"/>
      <c r="F29" s="52"/>
      <c r="G29" s="52"/>
      <c r="H29" s="52"/>
      <c r="I29" s="52"/>
      <c r="J29" s="52"/>
      <c r="K29" s="52"/>
      <c r="L29" s="53" t="s">
        <v>34</v>
      </c>
      <c r="M29" s="53"/>
      <c r="N29" s="53"/>
      <c r="O29" s="53"/>
      <c r="P29" s="53"/>
      <c r="Q29" s="51"/>
    </row>
    <row r="30" spans="1:17" x14ac:dyDescent="0.3">
      <c r="A30" s="12"/>
      <c r="B30" s="19"/>
      <c r="C30" s="54" t="s">
        <v>35</v>
      </c>
      <c r="D30" s="36" t="s">
        <v>36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17"/>
    </row>
    <row r="31" spans="1:17" x14ac:dyDescent="0.3">
      <c r="A31" s="12"/>
      <c r="B31" s="19"/>
      <c r="C31" s="31" t="s">
        <v>37</v>
      </c>
      <c r="D31" s="36" t="s">
        <v>38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17"/>
    </row>
    <row r="32" spans="1:17" x14ac:dyDescent="0.3">
      <c r="A32" s="12"/>
      <c r="B32" s="19"/>
      <c r="C32" s="52"/>
      <c r="D32" s="52"/>
      <c r="E32" s="52"/>
      <c r="F32" s="52"/>
      <c r="G32" s="52"/>
      <c r="H32" s="52"/>
      <c r="I32" s="52"/>
      <c r="J32" s="52"/>
      <c r="K32" s="52"/>
      <c r="L32" s="53" t="s">
        <v>34</v>
      </c>
      <c r="M32" s="53"/>
      <c r="N32" s="53"/>
      <c r="O32" s="53"/>
      <c r="P32" s="53"/>
      <c r="Q32" s="51"/>
    </row>
    <row r="33" spans="1:19" x14ac:dyDescent="0.3">
      <c r="A33" s="12"/>
      <c r="B33" s="19" t="s">
        <v>39</v>
      </c>
      <c r="C33" s="13"/>
      <c r="D33" s="13"/>
      <c r="E33" s="13"/>
      <c r="F33" s="13"/>
      <c r="G33" s="13"/>
      <c r="H33" s="13"/>
      <c r="I33" s="13"/>
      <c r="J33" s="13"/>
      <c r="K33" s="13"/>
      <c r="L33" s="15"/>
      <c r="M33" s="15"/>
      <c r="N33" s="15"/>
      <c r="O33" s="15"/>
      <c r="P33" s="15"/>
      <c r="Q33" s="17"/>
    </row>
    <row r="34" spans="1:19" x14ac:dyDescent="0.3">
      <c r="A34" s="12"/>
      <c r="B34" s="19"/>
      <c r="C34" s="14" t="s">
        <v>6</v>
      </c>
      <c r="D34" s="50" t="s">
        <v>40</v>
      </c>
      <c r="E34" s="34"/>
      <c r="F34" s="55">
        <v>36000000</v>
      </c>
      <c r="G34" s="55"/>
      <c r="H34" s="55"/>
      <c r="I34" s="55"/>
      <c r="J34" s="13" t="s">
        <v>41</v>
      </c>
      <c r="K34" s="13"/>
      <c r="L34" s="56"/>
      <c r="M34" s="15"/>
      <c r="N34" s="15"/>
      <c r="O34" s="15"/>
      <c r="P34" s="15"/>
      <c r="Q34" s="17"/>
    </row>
    <row r="35" spans="1:19" x14ac:dyDescent="0.3">
      <c r="A35" s="12"/>
      <c r="B35" s="19"/>
      <c r="C35" s="14" t="s">
        <v>11</v>
      </c>
      <c r="D35" s="50" t="s">
        <v>42</v>
      </c>
      <c r="E35" s="34"/>
      <c r="F35" s="57">
        <v>3000000</v>
      </c>
      <c r="G35" s="57"/>
      <c r="H35" s="57"/>
      <c r="I35" s="57"/>
      <c r="J35" s="13" t="s">
        <v>43</v>
      </c>
      <c r="K35" s="13"/>
      <c r="L35" s="15"/>
      <c r="M35" s="15"/>
      <c r="N35" s="15"/>
      <c r="O35" s="15"/>
      <c r="P35" s="15"/>
      <c r="Q35" s="17"/>
    </row>
    <row r="36" spans="1:19" x14ac:dyDescent="0.3">
      <c r="A36" s="12"/>
      <c r="B36" s="19"/>
      <c r="C36" s="13"/>
      <c r="D36" s="13"/>
      <c r="E36" s="13"/>
      <c r="F36" s="58"/>
      <c r="G36" s="58"/>
      <c r="H36" s="58"/>
      <c r="I36" s="58"/>
      <c r="J36" s="13"/>
      <c r="K36" s="13"/>
      <c r="L36" s="15"/>
      <c r="M36" s="15"/>
      <c r="N36" s="15"/>
      <c r="O36" s="15"/>
      <c r="P36" s="15"/>
      <c r="Q36" s="17"/>
    </row>
    <row r="37" spans="1:19" x14ac:dyDescent="0.3">
      <c r="A37" s="12"/>
      <c r="B37" s="19"/>
      <c r="C37" s="59" t="s">
        <v>44</v>
      </c>
      <c r="D37" s="59"/>
      <c r="E37" s="59" t="s">
        <v>45</v>
      </c>
      <c r="F37" s="59"/>
      <c r="G37" s="59"/>
      <c r="H37" s="60" t="s">
        <v>46</v>
      </c>
      <c r="I37" s="60"/>
      <c r="J37" s="60"/>
      <c r="K37" s="59" t="s">
        <v>47</v>
      </c>
      <c r="L37" s="59"/>
      <c r="M37" s="59"/>
      <c r="N37" s="59" t="s">
        <v>48</v>
      </c>
      <c r="O37" s="59"/>
      <c r="P37" s="59"/>
      <c r="Q37" s="17"/>
    </row>
    <row r="38" spans="1:19" x14ac:dyDescent="0.3">
      <c r="A38" s="12"/>
      <c r="B38" s="19"/>
      <c r="C38" s="61" t="s">
        <v>49</v>
      </c>
      <c r="D38" s="61"/>
      <c r="E38" s="62">
        <f>+S40</f>
        <v>2582470.5574162677</v>
      </c>
      <c r="F38" s="62"/>
      <c r="G38" s="62"/>
      <c r="H38" s="63">
        <f>+S39</f>
        <v>417529.44258373207</v>
      </c>
      <c r="I38" s="63"/>
      <c r="J38" s="63"/>
      <c r="K38" s="62"/>
      <c r="L38" s="62"/>
      <c r="M38" s="62"/>
      <c r="N38" s="64">
        <f>SUM(E38:M38)</f>
        <v>3000000</v>
      </c>
      <c r="O38" s="64"/>
      <c r="P38" s="64"/>
      <c r="Q38" s="17"/>
      <c r="S38" s="112">
        <f>+F35/209+(29*1.5)</f>
        <v>14397.566985645934</v>
      </c>
    </row>
    <row r="39" spans="1:19" x14ac:dyDescent="0.3">
      <c r="A39" s="12"/>
      <c r="B39" s="19"/>
      <c r="C39" s="61" t="s">
        <v>50</v>
      </c>
      <c r="D39" s="61"/>
      <c r="E39" s="65" t="s">
        <v>51</v>
      </c>
      <c r="F39" s="66"/>
      <c r="G39" s="67"/>
      <c r="H39" s="68" t="s">
        <v>109</v>
      </c>
      <c r="I39" s="69"/>
      <c r="J39" s="70"/>
      <c r="K39" s="71"/>
      <c r="L39" s="72"/>
      <c r="M39" s="73"/>
      <c r="N39" s="74"/>
      <c r="O39" s="75"/>
      <c r="P39" s="76"/>
      <c r="Q39" s="17"/>
      <c r="S39" s="112">
        <f>+S38*29</f>
        <v>417529.44258373207</v>
      </c>
    </row>
    <row r="40" spans="1:19" x14ac:dyDescent="0.3">
      <c r="A40" s="77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9"/>
      <c r="S40" s="113">
        <f>+F35-S39</f>
        <v>2582470.5574162677</v>
      </c>
    </row>
    <row r="41" spans="1:19" x14ac:dyDescent="0.3">
      <c r="A41" s="12"/>
      <c r="B41" s="13"/>
      <c r="C41" s="14" t="s">
        <v>31</v>
      </c>
      <c r="D41" s="80" t="s">
        <v>52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17"/>
    </row>
    <row r="42" spans="1:19" x14ac:dyDescent="0.3">
      <c r="A42" s="12"/>
      <c r="B42" s="13"/>
      <c r="C42" s="54" t="s">
        <v>35</v>
      </c>
      <c r="D42" s="36" t="s">
        <v>53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5"/>
    </row>
    <row r="43" spans="1:19" x14ac:dyDescent="0.3">
      <c r="A43" s="12"/>
      <c r="B43" s="13"/>
      <c r="C43" s="31" t="s">
        <v>37</v>
      </c>
      <c r="D43" s="36" t="s">
        <v>54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5"/>
    </row>
    <row r="44" spans="1:19" x14ac:dyDescent="0.3">
      <c r="A44" s="12"/>
      <c r="B44" s="13"/>
      <c r="C44" s="31" t="s">
        <v>55</v>
      </c>
      <c r="D44" s="36" t="s">
        <v>56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</row>
    <row r="45" spans="1:19" x14ac:dyDescent="0.3">
      <c r="A45" s="12"/>
      <c r="B45" s="13"/>
      <c r="C45" s="31" t="s">
        <v>57</v>
      </c>
      <c r="D45" s="36" t="s">
        <v>58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5"/>
    </row>
    <row r="46" spans="1:19" x14ac:dyDescent="0.3">
      <c r="A46" s="12"/>
      <c r="B46" s="13"/>
      <c r="C46" s="26"/>
      <c r="D46" s="36" t="s">
        <v>59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5"/>
    </row>
    <row r="47" spans="1:19" x14ac:dyDescent="0.3">
      <c r="A47" s="12"/>
      <c r="B47" s="1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5"/>
    </row>
    <row r="48" spans="1:19" x14ac:dyDescent="0.3">
      <c r="A48" s="12"/>
      <c r="B48" s="19" t="s">
        <v>60</v>
      </c>
      <c r="C48" s="81"/>
      <c r="D48" s="81"/>
      <c r="E48" s="81"/>
      <c r="F48" s="81"/>
      <c r="G48" s="81"/>
      <c r="H48" s="81"/>
      <c r="I48" s="81"/>
      <c r="J48" s="81"/>
      <c r="K48" s="81"/>
      <c r="L48" s="15"/>
      <c r="M48" s="15"/>
      <c r="N48" s="15"/>
      <c r="O48" s="15"/>
      <c r="P48" s="15"/>
      <c r="Q48" s="17"/>
    </row>
    <row r="49" spans="1:17" x14ac:dyDescent="0.3">
      <c r="A49" s="12"/>
      <c r="B49" s="15"/>
      <c r="C49" s="31" t="s">
        <v>6</v>
      </c>
      <c r="D49" s="82" t="s">
        <v>61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5"/>
    </row>
    <row r="50" spans="1:17" x14ac:dyDescent="0.3">
      <c r="A50" s="12"/>
      <c r="B50" s="13"/>
      <c r="C50" s="31" t="s">
        <v>11</v>
      </c>
      <c r="D50" s="36" t="s">
        <v>62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17"/>
    </row>
    <row r="51" spans="1:17" x14ac:dyDescent="0.3">
      <c r="A51" s="12"/>
      <c r="B51" s="13"/>
      <c r="C51" s="14" t="s">
        <v>63</v>
      </c>
      <c r="D51" s="50" t="s">
        <v>64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17"/>
    </row>
    <row r="52" spans="1:17" x14ac:dyDescent="0.3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5"/>
      <c r="M52" s="15"/>
      <c r="N52" s="15"/>
      <c r="O52" s="15"/>
      <c r="P52" s="15"/>
      <c r="Q52" s="17"/>
    </row>
    <row r="53" spans="1:17" x14ac:dyDescent="0.3">
      <c r="A53" s="12"/>
      <c r="B53" s="19" t="s">
        <v>65</v>
      </c>
      <c r="C53" s="13"/>
      <c r="D53" s="13"/>
      <c r="E53" s="13"/>
      <c r="F53" s="13"/>
      <c r="G53" s="13"/>
      <c r="H53" s="13"/>
      <c r="I53" s="13"/>
      <c r="J53" s="13"/>
      <c r="K53" s="13"/>
      <c r="L53" s="15"/>
      <c r="M53" s="15"/>
      <c r="N53" s="15"/>
      <c r="O53" s="15"/>
      <c r="P53" s="15"/>
      <c r="Q53" s="17"/>
    </row>
    <row r="54" spans="1:17" x14ac:dyDescent="0.3">
      <c r="A54" s="12"/>
      <c r="B54" s="15"/>
      <c r="C54" s="31" t="s">
        <v>6</v>
      </c>
      <c r="D54" s="34" t="s">
        <v>66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17"/>
    </row>
    <row r="55" spans="1:17" x14ac:dyDescent="0.3">
      <c r="A55" s="12"/>
      <c r="B55" s="13"/>
      <c r="C55" s="31" t="s">
        <v>11</v>
      </c>
      <c r="D55" s="36" t="s">
        <v>67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17"/>
    </row>
    <row r="56" spans="1:17" x14ac:dyDescent="0.3">
      <c r="A56" s="12"/>
      <c r="B56" s="1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17"/>
    </row>
    <row r="57" spans="1:17" x14ac:dyDescent="0.3">
      <c r="A57" s="12"/>
      <c r="B57" s="19" t="s">
        <v>68</v>
      </c>
      <c r="C57" s="13"/>
      <c r="D57" s="13"/>
      <c r="E57" s="13"/>
      <c r="F57" s="13"/>
      <c r="G57" s="13"/>
      <c r="H57" s="13"/>
      <c r="I57" s="13"/>
      <c r="J57" s="13"/>
      <c r="K57" s="13"/>
      <c r="L57" s="15"/>
      <c r="M57" s="15"/>
      <c r="N57" s="15"/>
      <c r="O57" s="15"/>
      <c r="P57" s="15"/>
      <c r="Q57" s="17"/>
    </row>
    <row r="58" spans="1:17" x14ac:dyDescent="0.3">
      <c r="A58" s="12"/>
      <c r="B58" s="15"/>
      <c r="C58" s="31" t="s">
        <v>6</v>
      </c>
      <c r="D58" s="36" t="s">
        <v>69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17"/>
    </row>
    <row r="59" spans="1:17" x14ac:dyDescent="0.3">
      <c r="A59" s="12"/>
      <c r="B59" s="15"/>
      <c r="C59" s="31"/>
      <c r="D59" s="36" t="s">
        <v>70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17"/>
    </row>
    <row r="60" spans="1:17" x14ac:dyDescent="0.3">
      <c r="A60" s="12"/>
      <c r="B60" s="15"/>
      <c r="C60" s="31"/>
      <c r="D60" s="36" t="s">
        <v>71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17"/>
    </row>
    <row r="61" spans="1:17" x14ac:dyDescent="0.3">
      <c r="A61" s="12"/>
      <c r="B61" s="15"/>
      <c r="C61" s="49"/>
      <c r="D61" s="52"/>
      <c r="E61" s="52"/>
      <c r="F61" s="52"/>
      <c r="G61" s="52"/>
      <c r="H61" s="52"/>
      <c r="I61" s="52"/>
      <c r="J61" s="52"/>
      <c r="K61" s="52"/>
      <c r="L61" s="53" t="s">
        <v>34</v>
      </c>
      <c r="M61" s="53"/>
      <c r="N61" s="53"/>
      <c r="O61" s="53"/>
      <c r="P61" s="53"/>
      <c r="Q61" s="17"/>
    </row>
    <row r="62" spans="1:17" x14ac:dyDescent="0.3">
      <c r="A62" s="83"/>
      <c r="B62" s="84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6"/>
    </row>
    <row r="63" spans="1:17" x14ac:dyDescent="0.3">
      <c r="A63" s="12"/>
      <c r="B63" s="15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17"/>
    </row>
    <row r="64" spans="1:17" x14ac:dyDescent="0.3">
      <c r="A64" s="12"/>
      <c r="B64" s="19" t="s">
        <v>72</v>
      </c>
      <c r="C64" s="13"/>
      <c r="D64" s="13"/>
      <c r="E64" s="81"/>
      <c r="F64" s="81"/>
      <c r="G64" s="81"/>
      <c r="H64" s="13"/>
      <c r="I64" s="13"/>
      <c r="J64" s="13"/>
      <c r="K64" s="13"/>
      <c r="L64" s="15"/>
      <c r="M64" s="15"/>
      <c r="N64" s="15"/>
      <c r="O64" s="15"/>
      <c r="P64" s="15"/>
      <c r="Q64" s="17"/>
    </row>
    <row r="65" spans="1:17" x14ac:dyDescent="0.3">
      <c r="A65" s="12"/>
      <c r="B65" s="15"/>
      <c r="C65" s="14" t="s">
        <v>6</v>
      </c>
      <c r="D65" s="34" t="s">
        <v>73</v>
      </c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17"/>
    </row>
    <row r="66" spans="1:17" x14ac:dyDescent="0.3">
      <c r="A66" s="12"/>
      <c r="B66" s="13"/>
      <c r="C66" s="87"/>
      <c r="D66" s="34" t="s">
        <v>74</v>
      </c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17"/>
    </row>
    <row r="67" spans="1:17" x14ac:dyDescent="0.3">
      <c r="A67" s="12"/>
      <c r="B67" s="13"/>
      <c r="C67" s="87"/>
      <c r="D67" s="34" t="s">
        <v>75</v>
      </c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17"/>
    </row>
    <row r="68" spans="1:17" x14ac:dyDescent="0.3">
      <c r="A68" s="12"/>
      <c r="B68" s="13"/>
      <c r="C68" s="87"/>
      <c r="D68" s="34" t="s">
        <v>76</v>
      </c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17"/>
    </row>
    <row r="69" spans="1:17" x14ac:dyDescent="0.3">
      <c r="A69" s="12"/>
      <c r="B69" s="13"/>
      <c r="C69" s="87"/>
      <c r="D69" s="34" t="s">
        <v>77</v>
      </c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17"/>
    </row>
    <row r="70" spans="1:17" x14ac:dyDescent="0.3">
      <c r="A70" s="12"/>
      <c r="B70" s="13"/>
      <c r="C70" s="87"/>
      <c r="D70" s="34" t="s">
        <v>78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17"/>
    </row>
    <row r="71" spans="1:17" x14ac:dyDescent="0.3">
      <c r="A71" s="12"/>
      <c r="B71" s="13"/>
      <c r="C71" s="87"/>
      <c r="D71" s="34" t="s">
        <v>79</v>
      </c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17"/>
    </row>
    <row r="72" spans="1:17" x14ac:dyDescent="0.3">
      <c r="A72" s="12"/>
      <c r="B72" s="13"/>
      <c r="C72" s="31" t="s">
        <v>11</v>
      </c>
      <c r="D72" s="36" t="s">
        <v>80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17"/>
    </row>
    <row r="73" spans="1:17" x14ac:dyDescent="0.3">
      <c r="A73" s="12"/>
      <c r="B73" s="13"/>
      <c r="C73" s="31"/>
      <c r="D73" s="36" t="s">
        <v>81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17"/>
    </row>
    <row r="74" spans="1:17" x14ac:dyDescent="0.3">
      <c r="A74" s="12"/>
      <c r="B74" s="13"/>
      <c r="C74" s="31" t="s">
        <v>31</v>
      </c>
      <c r="D74" s="36" t="s">
        <v>82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17"/>
    </row>
    <row r="75" spans="1:17" x14ac:dyDescent="0.3">
      <c r="A75" s="12"/>
      <c r="B75" s="13"/>
      <c r="C75" s="31"/>
      <c r="D75" s="36" t="s">
        <v>83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17"/>
    </row>
    <row r="76" spans="1:17" x14ac:dyDescent="0.3">
      <c r="A76" s="12"/>
      <c r="B76" s="13"/>
      <c r="C76" s="31"/>
      <c r="D76" s="33"/>
      <c r="E76" s="33"/>
      <c r="F76" s="33"/>
      <c r="G76" s="33"/>
      <c r="H76" s="33"/>
      <c r="I76" s="33"/>
      <c r="J76" s="33"/>
      <c r="K76" s="33"/>
      <c r="L76" s="53" t="s">
        <v>34</v>
      </c>
      <c r="M76" s="53"/>
      <c r="N76" s="53"/>
      <c r="O76" s="53"/>
      <c r="P76" s="53"/>
      <c r="Q76" s="17"/>
    </row>
    <row r="77" spans="1:17" x14ac:dyDescent="0.3">
      <c r="A77" s="12"/>
      <c r="B77" s="13"/>
      <c r="C77" s="31" t="s">
        <v>84</v>
      </c>
      <c r="D77" s="82" t="s">
        <v>85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17"/>
    </row>
    <row r="78" spans="1:17" x14ac:dyDescent="0.3">
      <c r="A78" s="12"/>
      <c r="B78" s="13"/>
      <c r="C78" s="26"/>
      <c r="D78" s="36" t="s">
        <v>86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17"/>
    </row>
    <row r="79" spans="1:17" x14ac:dyDescent="0.3">
      <c r="A79" s="12"/>
      <c r="B79" s="13"/>
      <c r="C79" s="26"/>
      <c r="D79" s="26"/>
      <c r="E79" s="26"/>
      <c r="F79" s="26"/>
      <c r="G79" s="26"/>
      <c r="H79" s="26"/>
      <c r="I79" s="26"/>
      <c r="J79" s="26"/>
      <c r="K79" s="26"/>
      <c r="L79" s="53" t="s">
        <v>34</v>
      </c>
      <c r="M79" s="53"/>
      <c r="N79" s="53"/>
      <c r="O79" s="53"/>
      <c r="P79" s="53"/>
      <c r="Q79" s="17"/>
    </row>
    <row r="80" spans="1:17" x14ac:dyDescent="0.3">
      <c r="A80" s="12"/>
      <c r="B80" s="1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17"/>
    </row>
    <row r="81" spans="1:17" x14ac:dyDescent="0.3">
      <c r="A81" s="12"/>
      <c r="B81" s="19" t="s">
        <v>87</v>
      </c>
      <c r="C81" s="13"/>
      <c r="D81" s="13"/>
      <c r="E81" s="13"/>
      <c r="F81" s="13"/>
      <c r="G81" s="13"/>
      <c r="H81" s="13"/>
      <c r="I81" s="13"/>
      <c r="J81" s="13"/>
      <c r="K81" s="13"/>
      <c r="L81" s="15"/>
      <c r="M81" s="15"/>
      <c r="N81" s="15"/>
      <c r="O81" s="15"/>
      <c r="P81" s="15"/>
      <c r="Q81" s="17"/>
    </row>
    <row r="82" spans="1:17" x14ac:dyDescent="0.3">
      <c r="A82" s="12"/>
      <c r="B82" s="15"/>
      <c r="C82" s="50" t="s">
        <v>88</v>
      </c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17"/>
    </row>
    <row r="83" spans="1:17" x14ac:dyDescent="0.3">
      <c r="A83" s="12"/>
      <c r="B83" s="13"/>
      <c r="C83" s="26"/>
      <c r="D83" s="36" t="s">
        <v>89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17"/>
    </row>
    <row r="84" spans="1:17" x14ac:dyDescent="0.3">
      <c r="A84" s="12"/>
      <c r="B84" s="13"/>
      <c r="C84" s="26"/>
      <c r="D84" s="36" t="s">
        <v>90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17"/>
    </row>
    <row r="85" spans="1:17" x14ac:dyDescent="0.3">
      <c r="A85" s="12"/>
      <c r="B85" s="13"/>
      <c r="C85" s="26"/>
      <c r="D85" s="36" t="s">
        <v>91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17"/>
    </row>
    <row r="86" spans="1:17" x14ac:dyDescent="0.3">
      <c r="A86" s="12"/>
      <c r="B86" s="1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17"/>
    </row>
    <row r="87" spans="1:17" x14ac:dyDescent="0.3">
      <c r="A87" s="12"/>
      <c r="B87" s="19" t="s">
        <v>92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7"/>
    </row>
    <row r="88" spans="1:17" x14ac:dyDescent="0.3">
      <c r="A88" s="12"/>
      <c r="B88" s="15"/>
      <c r="C88" s="82" t="s">
        <v>93</v>
      </c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8"/>
    </row>
    <row r="89" spans="1:17" x14ac:dyDescent="0.3">
      <c r="A89" s="12"/>
      <c r="B89" s="15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90"/>
    </row>
    <row r="90" spans="1:17" x14ac:dyDescent="0.3">
      <c r="A90" s="12"/>
      <c r="B90" s="19" t="s">
        <v>94</v>
      </c>
      <c r="C90" s="15"/>
      <c r="D90" s="13"/>
      <c r="E90" s="13"/>
      <c r="F90" s="13"/>
      <c r="G90" s="13"/>
      <c r="H90" s="13"/>
      <c r="I90" s="13"/>
      <c r="J90" s="13"/>
      <c r="K90" s="13"/>
      <c r="L90" s="15"/>
      <c r="M90" s="15"/>
      <c r="N90" s="15"/>
      <c r="O90" s="15"/>
      <c r="P90" s="15"/>
      <c r="Q90" s="17"/>
    </row>
    <row r="91" spans="1:17" x14ac:dyDescent="0.3">
      <c r="A91" s="12"/>
      <c r="B91" s="15"/>
      <c r="C91" s="20" t="s">
        <v>95</v>
      </c>
      <c r="D91" s="81"/>
      <c r="E91" s="81"/>
      <c r="F91" s="81"/>
      <c r="G91" s="81"/>
      <c r="H91" s="13"/>
      <c r="I91" s="13"/>
      <c r="J91" s="13"/>
      <c r="K91" s="13"/>
      <c r="L91" s="15"/>
      <c r="M91" s="15"/>
      <c r="N91" s="15"/>
      <c r="O91" s="15"/>
      <c r="P91" s="15"/>
      <c r="Q91" s="17"/>
    </row>
    <row r="92" spans="1:17" x14ac:dyDescent="0.3">
      <c r="A92" s="12"/>
      <c r="B92" s="15"/>
      <c r="C92" s="20"/>
      <c r="D92" s="81"/>
      <c r="E92" s="81"/>
      <c r="F92" s="81"/>
      <c r="G92" s="81"/>
      <c r="H92" s="13"/>
      <c r="I92" s="13"/>
      <c r="J92" s="13"/>
      <c r="K92" s="13"/>
      <c r="L92" s="15"/>
      <c r="M92" s="15"/>
      <c r="N92" s="15"/>
      <c r="O92" s="15"/>
      <c r="P92" s="15"/>
      <c r="Q92" s="17"/>
    </row>
    <row r="93" spans="1:17" x14ac:dyDescent="0.3">
      <c r="A93" s="12"/>
      <c r="B93" s="19" t="s">
        <v>96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7"/>
    </row>
    <row r="94" spans="1:17" x14ac:dyDescent="0.3">
      <c r="A94" s="12"/>
      <c r="B94" s="15"/>
      <c r="C94" s="36" t="s">
        <v>97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17"/>
    </row>
    <row r="95" spans="1:17" x14ac:dyDescent="0.3">
      <c r="A95" s="12"/>
      <c r="B95" s="15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17"/>
    </row>
    <row r="96" spans="1:17" x14ac:dyDescent="0.3">
      <c r="A96" s="12"/>
      <c r="B96" s="19" t="s">
        <v>98</v>
      </c>
      <c r="C96" s="91"/>
      <c r="D96" s="92"/>
      <c r="E96" s="92"/>
      <c r="F96" s="93"/>
      <c r="G96" s="93"/>
      <c r="H96" s="93"/>
      <c r="I96" s="93"/>
      <c r="J96" s="93"/>
      <c r="K96" s="93"/>
      <c r="L96" s="94"/>
      <c r="M96" s="95"/>
      <c r="N96" s="95"/>
      <c r="O96" s="95"/>
      <c r="P96" s="95"/>
      <c r="Q96" s="17"/>
    </row>
    <row r="97" spans="1:17" x14ac:dyDescent="0.3">
      <c r="A97" s="12"/>
      <c r="B97" s="19"/>
      <c r="C97" s="91"/>
      <c r="D97" s="92"/>
      <c r="E97" s="92"/>
      <c r="F97" s="93"/>
      <c r="G97" s="93"/>
      <c r="H97" s="93"/>
      <c r="I97" s="93"/>
      <c r="J97" s="93"/>
      <c r="K97" s="93"/>
      <c r="L97" s="94"/>
      <c r="M97" s="95"/>
      <c r="N97" s="95"/>
      <c r="O97" s="95"/>
      <c r="P97" s="95"/>
      <c r="Q97" s="17"/>
    </row>
    <row r="98" spans="1:17" x14ac:dyDescent="0.3">
      <c r="A98" s="61" t="s">
        <v>99</v>
      </c>
      <c r="B98" s="61"/>
      <c r="C98" s="61"/>
      <c r="D98" s="96">
        <f>+H4</f>
        <v>0</v>
      </c>
      <c r="E98" s="97"/>
      <c r="F98" s="98"/>
      <c r="G98" s="96" t="s">
        <v>100</v>
      </c>
      <c r="H98" s="98"/>
      <c r="I98" s="96"/>
      <c r="J98" s="97"/>
      <c r="K98" s="98"/>
      <c r="L98" s="96" t="s">
        <v>101</v>
      </c>
      <c r="M98" s="98"/>
      <c r="N98" s="99"/>
      <c r="O98" s="100"/>
      <c r="P98" s="100"/>
      <c r="Q98" s="101"/>
    </row>
    <row r="99" spans="1:17" x14ac:dyDescent="0.3">
      <c r="A99" s="61" t="s">
        <v>102</v>
      </c>
      <c r="B99" s="61"/>
      <c r="C99" s="61"/>
      <c r="D99" s="96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8"/>
    </row>
    <row r="100" spans="1:17" x14ac:dyDescent="0.3">
      <c r="A100" s="102"/>
      <c r="B100" s="22"/>
      <c r="C100" s="22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4"/>
    </row>
    <row r="101" spans="1:17" x14ac:dyDescent="0.3">
      <c r="A101" s="105">
        <f>G11</f>
        <v>46204</v>
      </c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7"/>
    </row>
    <row r="102" spans="1:17" x14ac:dyDescent="0.3">
      <c r="A102" s="12"/>
      <c r="B102" s="13"/>
      <c r="C102" s="15"/>
      <c r="D102" s="13"/>
      <c r="E102" s="13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5"/>
      <c r="Q102" s="17"/>
    </row>
    <row r="103" spans="1:17" x14ac:dyDescent="0.3">
      <c r="A103" s="12"/>
      <c r="B103" s="96" t="s">
        <v>103</v>
      </c>
      <c r="C103" s="97"/>
      <c r="D103" s="97"/>
      <c r="E103" s="97"/>
      <c r="F103" s="97"/>
      <c r="G103" s="97"/>
      <c r="H103" s="97"/>
      <c r="I103" s="98"/>
      <c r="J103" s="96" t="s">
        <v>104</v>
      </c>
      <c r="K103" s="97"/>
      <c r="L103" s="97"/>
      <c r="M103" s="97"/>
      <c r="N103" s="97"/>
      <c r="O103" s="97"/>
      <c r="P103" s="98"/>
      <c r="Q103" s="17"/>
    </row>
    <row r="104" spans="1:17" x14ac:dyDescent="0.3">
      <c r="A104" s="12"/>
      <c r="B104" s="108" t="s">
        <v>105</v>
      </c>
      <c r="C104" s="109"/>
      <c r="D104" s="109"/>
      <c r="E104" s="109"/>
      <c r="F104" s="109"/>
      <c r="G104" s="110" t="s">
        <v>106</v>
      </c>
      <c r="H104" s="110"/>
      <c r="I104" s="111"/>
      <c r="J104" s="108">
        <f>D98</f>
        <v>0</v>
      </c>
      <c r="K104" s="109"/>
      <c r="L104" s="109"/>
      <c r="M104" s="109"/>
      <c r="N104" s="110" t="s">
        <v>106</v>
      </c>
      <c r="O104" s="110"/>
      <c r="P104" s="111"/>
      <c r="Q104" s="17"/>
    </row>
    <row r="105" spans="1:17" x14ac:dyDescent="0.3">
      <c r="A105" s="12"/>
      <c r="B105" s="13"/>
      <c r="C105" s="13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7"/>
    </row>
    <row r="106" spans="1:17" x14ac:dyDescent="0.3">
      <c r="A106" s="12"/>
      <c r="B106" s="13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7"/>
    </row>
    <row r="107" spans="1:17" x14ac:dyDescent="0.3">
      <c r="A107" s="12"/>
      <c r="B107" s="13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7"/>
    </row>
    <row r="108" spans="1:17" x14ac:dyDescent="0.3">
      <c r="A108" s="83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6"/>
    </row>
  </sheetData>
  <mergeCells count="99">
    <mergeCell ref="A99:C99"/>
    <mergeCell ref="D99:Q99"/>
    <mergeCell ref="A101:Q101"/>
    <mergeCell ref="B103:I103"/>
    <mergeCell ref="J103:P103"/>
    <mergeCell ref="B104:F104"/>
    <mergeCell ref="G104:I104"/>
    <mergeCell ref="J104:M104"/>
    <mergeCell ref="N104:P104"/>
    <mergeCell ref="A98:C98"/>
    <mergeCell ref="D98:F98"/>
    <mergeCell ref="G98:H98"/>
    <mergeCell ref="I98:K98"/>
    <mergeCell ref="L98:M98"/>
    <mergeCell ref="N98:Q98"/>
    <mergeCell ref="C82:P82"/>
    <mergeCell ref="D83:P83"/>
    <mergeCell ref="D84:P84"/>
    <mergeCell ref="D85:P85"/>
    <mergeCell ref="C88:Q88"/>
    <mergeCell ref="C94:P94"/>
    <mergeCell ref="D74:P74"/>
    <mergeCell ref="D75:P75"/>
    <mergeCell ref="L76:P76"/>
    <mergeCell ref="D77:P77"/>
    <mergeCell ref="D78:P78"/>
    <mergeCell ref="L79:P79"/>
    <mergeCell ref="D68:P68"/>
    <mergeCell ref="D69:P69"/>
    <mergeCell ref="D70:P70"/>
    <mergeCell ref="D71:P71"/>
    <mergeCell ref="D72:P72"/>
    <mergeCell ref="D73:P73"/>
    <mergeCell ref="D59:P59"/>
    <mergeCell ref="D60:P60"/>
    <mergeCell ref="L61:P61"/>
    <mergeCell ref="D65:P65"/>
    <mergeCell ref="D66:P66"/>
    <mergeCell ref="D67:P67"/>
    <mergeCell ref="D49:P49"/>
    <mergeCell ref="D50:P50"/>
    <mergeCell ref="D51:P51"/>
    <mergeCell ref="D54:P54"/>
    <mergeCell ref="D55:P55"/>
    <mergeCell ref="D58:P58"/>
    <mergeCell ref="D41:P41"/>
    <mergeCell ref="D42:P42"/>
    <mergeCell ref="D43:P43"/>
    <mergeCell ref="D44:P44"/>
    <mergeCell ref="D45:P45"/>
    <mergeCell ref="D46:P46"/>
    <mergeCell ref="C39:D39"/>
    <mergeCell ref="E39:G39"/>
    <mergeCell ref="H39:J39"/>
    <mergeCell ref="K39:M39"/>
    <mergeCell ref="N39:P39"/>
    <mergeCell ref="B40:P40"/>
    <mergeCell ref="K37:M37"/>
    <mergeCell ref="N37:P37"/>
    <mergeCell ref="C38:D38"/>
    <mergeCell ref="E38:G38"/>
    <mergeCell ref="H38:J38"/>
    <mergeCell ref="K38:M38"/>
    <mergeCell ref="N38:P38"/>
    <mergeCell ref="D34:E34"/>
    <mergeCell ref="F34:I34"/>
    <mergeCell ref="D35:E35"/>
    <mergeCell ref="F35:I35"/>
    <mergeCell ref="C37:D37"/>
    <mergeCell ref="E37:G37"/>
    <mergeCell ref="H37:J37"/>
    <mergeCell ref="D27:P27"/>
    <mergeCell ref="D28:P28"/>
    <mergeCell ref="L29:P29"/>
    <mergeCell ref="D30:P30"/>
    <mergeCell ref="D31:P31"/>
    <mergeCell ref="L32:P32"/>
    <mergeCell ref="C24:D24"/>
    <mergeCell ref="E24:G24"/>
    <mergeCell ref="H24:J24"/>
    <mergeCell ref="K24:P24"/>
    <mergeCell ref="C25:D25"/>
    <mergeCell ref="E25:G25"/>
    <mergeCell ref="H25:J25"/>
    <mergeCell ref="K25:P25"/>
    <mergeCell ref="D19:P19"/>
    <mergeCell ref="D20:P20"/>
    <mergeCell ref="D21:P21"/>
    <mergeCell ref="C23:D23"/>
    <mergeCell ref="E23:G23"/>
    <mergeCell ref="H23:J23"/>
    <mergeCell ref="K23:P23"/>
    <mergeCell ref="A1:Q2"/>
    <mergeCell ref="H4:I4"/>
    <mergeCell ref="G7:L7"/>
    <mergeCell ref="G9:H9"/>
    <mergeCell ref="D10:P10"/>
    <mergeCell ref="G11:H11"/>
    <mergeCell ref="J11:K11"/>
  </mergeCells>
  <phoneticPr fontId="4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080E-C3B4-45E7-B473-B226CA47E013}">
  <dimension ref="A1:S108"/>
  <sheetViews>
    <sheetView workbookViewId="0">
      <selection activeCell="T45" sqref="T45"/>
    </sheetView>
  </sheetViews>
  <sheetFormatPr defaultRowHeight="16.5" x14ac:dyDescent="0.3"/>
  <cols>
    <col min="1" max="1" width="3" customWidth="1"/>
    <col min="17" max="17" width="4.75" customWidth="1"/>
    <col min="19" max="19" width="10.875" bestFit="1" customWidth="1"/>
  </cols>
  <sheetData>
    <row r="1" spans="1:17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1:17" x14ac:dyDescent="0.3">
      <c r="A3" s="7"/>
      <c r="B3" s="8"/>
      <c r="C3" s="8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x14ac:dyDescent="0.3">
      <c r="A4" s="12"/>
      <c r="B4" s="13" t="s">
        <v>1</v>
      </c>
      <c r="C4" s="13"/>
      <c r="D4" s="13"/>
      <c r="E4" s="13"/>
      <c r="F4" s="14"/>
      <c r="G4" s="15"/>
      <c r="H4" s="16"/>
      <c r="I4" s="16"/>
      <c r="J4" s="13" t="s">
        <v>2</v>
      </c>
      <c r="K4" s="13"/>
      <c r="L4" s="13"/>
      <c r="M4" s="15"/>
      <c r="N4" s="15"/>
      <c r="O4" s="15"/>
      <c r="P4" s="15"/>
      <c r="Q4" s="17"/>
    </row>
    <row r="5" spans="1:17" x14ac:dyDescent="0.3">
      <c r="A5" s="12"/>
      <c r="B5" s="13" t="s">
        <v>3</v>
      </c>
      <c r="C5" s="15"/>
      <c r="D5" s="13"/>
      <c r="E5" s="13"/>
      <c r="F5" s="13"/>
      <c r="G5" s="13"/>
      <c r="H5" s="13"/>
      <c r="I5" s="13"/>
      <c r="J5" s="13"/>
      <c r="K5" s="13"/>
      <c r="L5" s="15"/>
      <c r="M5" s="15"/>
      <c r="N5" s="15"/>
      <c r="O5" s="15"/>
      <c r="P5" s="15"/>
      <c r="Q5" s="17"/>
    </row>
    <row r="6" spans="1:17" x14ac:dyDescent="0.3">
      <c r="A6" s="12"/>
      <c r="B6" s="13"/>
      <c r="C6" s="15"/>
      <c r="D6" s="13"/>
      <c r="E6" s="13"/>
      <c r="F6" s="13"/>
      <c r="G6" s="13"/>
      <c r="H6" s="13"/>
      <c r="I6" s="13"/>
      <c r="J6" s="13"/>
      <c r="K6" s="13"/>
      <c r="L6" s="15"/>
      <c r="M6" s="15"/>
      <c r="N6" s="15"/>
      <c r="O6" s="15"/>
      <c r="P6" s="15"/>
      <c r="Q6" s="17"/>
    </row>
    <row r="7" spans="1:17" x14ac:dyDescent="0.3">
      <c r="A7" s="12"/>
      <c r="B7" s="15"/>
      <c r="C7" s="13"/>
      <c r="D7" s="13"/>
      <c r="E7" s="13"/>
      <c r="F7" s="13"/>
      <c r="G7" s="18" t="s">
        <v>4</v>
      </c>
      <c r="H7" s="18"/>
      <c r="I7" s="18"/>
      <c r="J7" s="18"/>
      <c r="K7" s="18"/>
      <c r="L7" s="18"/>
      <c r="M7" s="15"/>
      <c r="N7" s="15"/>
      <c r="O7" s="15"/>
      <c r="P7" s="15"/>
      <c r="Q7" s="17"/>
    </row>
    <row r="8" spans="1:17" x14ac:dyDescent="0.3">
      <c r="A8" s="12"/>
      <c r="B8" s="19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15"/>
      <c r="M8" s="15"/>
      <c r="N8" s="15"/>
      <c r="O8" s="15"/>
      <c r="P8" s="15"/>
      <c r="Q8" s="17"/>
    </row>
    <row r="9" spans="1:17" x14ac:dyDescent="0.3">
      <c r="A9" s="12"/>
      <c r="B9" s="13"/>
      <c r="C9" s="14" t="s">
        <v>6</v>
      </c>
      <c r="D9" s="20" t="s">
        <v>7</v>
      </c>
      <c r="E9" s="13"/>
      <c r="F9" s="15"/>
      <c r="G9" s="21">
        <v>46204</v>
      </c>
      <c r="H9" s="21"/>
      <c r="I9" s="22" t="s">
        <v>8</v>
      </c>
      <c r="J9" s="23" t="s">
        <v>9</v>
      </c>
      <c r="K9" s="23"/>
      <c r="L9" s="23"/>
      <c r="M9" s="23"/>
      <c r="N9" s="24"/>
      <c r="O9" s="25"/>
      <c r="P9" s="25"/>
      <c r="Q9" s="17"/>
    </row>
    <row r="10" spans="1:17" x14ac:dyDescent="0.3">
      <c r="A10" s="12"/>
      <c r="B10" s="13"/>
      <c r="C10" s="26"/>
      <c r="D10" s="27" t="s">
        <v>10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8"/>
    </row>
    <row r="11" spans="1:17" x14ac:dyDescent="0.3">
      <c r="A11" s="12"/>
      <c r="B11" s="13"/>
      <c r="C11" s="14" t="s">
        <v>11</v>
      </c>
      <c r="D11" s="20" t="s">
        <v>12</v>
      </c>
      <c r="E11" s="13"/>
      <c r="F11" s="15"/>
      <c r="G11" s="21">
        <f>+G9</f>
        <v>46204</v>
      </c>
      <c r="H11" s="21"/>
      <c r="I11" s="22" t="s">
        <v>8</v>
      </c>
      <c r="J11" s="21">
        <f>+G9-1</f>
        <v>46203</v>
      </c>
      <c r="K11" s="21"/>
      <c r="L11" s="13" t="s">
        <v>13</v>
      </c>
      <c r="M11" s="29"/>
      <c r="N11" s="13"/>
      <c r="O11" s="15"/>
      <c r="P11" s="15"/>
      <c r="Q11" s="17"/>
    </row>
    <row r="12" spans="1:17" x14ac:dyDescent="0.3">
      <c r="A12" s="12"/>
      <c r="B12" s="13"/>
      <c r="C12" s="13"/>
      <c r="D12" s="30" t="s">
        <v>14</v>
      </c>
      <c r="E12" s="13"/>
      <c r="F12" s="13"/>
      <c r="G12" s="13"/>
      <c r="H12" s="13"/>
      <c r="I12" s="13"/>
      <c r="J12" s="13"/>
      <c r="K12" s="13"/>
      <c r="L12" s="15"/>
      <c r="M12" s="15"/>
      <c r="N12" s="15"/>
      <c r="O12" s="15"/>
      <c r="P12" s="15"/>
      <c r="Q12" s="17"/>
    </row>
    <row r="13" spans="1:17" x14ac:dyDescent="0.3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5"/>
      <c r="M13" s="15"/>
      <c r="N13" s="15"/>
      <c r="O13" s="15"/>
      <c r="P13" s="15"/>
      <c r="Q13" s="17"/>
    </row>
    <row r="14" spans="1:17" x14ac:dyDescent="0.3">
      <c r="A14" s="12"/>
      <c r="B14" s="19" t="s">
        <v>15</v>
      </c>
      <c r="C14" s="13"/>
      <c r="D14" s="13"/>
      <c r="E14" s="13"/>
      <c r="F14" s="13"/>
      <c r="G14" s="13"/>
      <c r="H14" s="13"/>
      <c r="I14" s="13"/>
      <c r="J14" s="13"/>
      <c r="K14" s="13"/>
      <c r="L14" s="15"/>
      <c r="M14" s="15"/>
      <c r="N14" s="15"/>
      <c r="O14" s="15"/>
      <c r="P14" s="15"/>
      <c r="Q14" s="17"/>
    </row>
    <row r="15" spans="1:17" x14ac:dyDescent="0.3">
      <c r="A15" s="12"/>
      <c r="B15" s="19"/>
      <c r="C15" s="31" t="s">
        <v>6</v>
      </c>
      <c r="D15" s="13" t="s">
        <v>16</v>
      </c>
      <c r="E15" s="13"/>
      <c r="F15" s="15"/>
      <c r="G15" s="32" t="s">
        <v>107</v>
      </c>
      <c r="H15" s="32"/>
      <c r="I15" s="13" t="s">
        <v>17</v>
      </c>
      <c r="J15" s="32" t="s">
        <v>108</v>
      </c>
      <c r="K15" s="13"/>
      <c r="L15" s="13" t="s">
        <v>18</v>
      </c>
      <c r="M15" s="32"/>
      <c r="N15" s="32"/>
      <c r="O15" s="13"/>
      <c r="P15" s="15"/>
      <c r="Q15" s="17"/>
    </row>
    <row r="16" spans="1:17" x14ac:dyDescent="0.3">
      <c r="A16" s="12"/>
      <c r="B16" s="13"/>
      <c r="C16" s="31" t="s">
        <v>11</v>
      </c>
      <c r="D16" s="13" t="s">
        <v>19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17"/>
    </row>
    <row r="17" spans="1:17" x14ac:dyDescent="0.3">
      <c r="A17" s="12"/>
      <c r="B17" s="1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17"/>
    </row>
    <row r="18" spans="1:17" x14ac:dyDescent="0.3">
      <c r="A18" s="12"/>
      <c r="B18" s="19" t="s">
        <v>20</v>
      </c>
      <c r="C18" s="13"/>
      <c r="D18" s="13"/>
      <c r="E18" s="13"/>
      <c r="F18" s="13"/>
      <c r="G18" s="13"/>
      <c r="H18" s="13"/>
      <c r="I18" s="13"/>
      <c r="J18" s="13"/>
      <c r="K18" s="13"/>
      <c r="L18" s="15"/>
      <c r="M18" s="15"/>
      <c r="N18" s="15"/>
      <c r="O18" s="15"/>
      <c r="P18" s="15"/>
      <c r="Q18" s="17"/>
    </row>
    <row r="19" spans="1:17" x14ac:dyDescent="0.3">
      <c r="A19" s="12"/>
      <c r="B19" s="19"/>
      <c r="C19" s="31" t="s">
        <v>6</v>
      </c>
      <c r="D19" s="34" t="s">
        <v>21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17"/>
    </row>
    <row r="20" spans="1:17" x14ac:dyDescent="0.3">
      <c r="A20" s="12"/>
      <c r="B20" s="19"/>
      <c r="C20" s="31" t="s">
        <v>11</v>
      </c>
      <c r="D20" s="34" t="s">
        <v>22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</row>
    <row r="21" spans="1:17" x14ac:dyDescent="0.3">
      <c r="A21" s="12"/>
      <c r="B21" s="19"/>
      <c r="C21" s="26"/>
      <c r="D21" s="36" t="s">
        <v>23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17"/>
    </row>
    <row r="22" spans="1:17" x14ac:dyDescent="0.3">
      <c r="A22" s="12"/>
      <c r="B22" s="19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17"/>
    </row>
    <row r="23" spans="1:17" x14ac:dyDescent="0.3">
      <c r="A23" s="12"/>
      <c r="B23" s="19"/>
      <c r="C23" s="37" t="s">
        <v>24</v>
      </c>
      <c r="D23" s="37"/>
      <c r="E23" s="38" t="s">
        <v>25</v>
      </c>
      <c r="F23" s="38"/>
      <c r="G23" s="38"/>
      <c r="H23" s="38" t="s">
        <v>26</v>
      </c>
      <c r="I23" s="38"/>
      <c r="J23" s="38"/>
      <c r="K23" s="38" t="s">
        <v>27</v>
      </c>
      <c r="L23" s="38"/>
      <c r="M23" s="38"/>
      <c r="N23" s="38"/>
      <c r="O23" s="38"/>
      <c r="P23" s="38"/>
      <c r="Q23" s="39"/>
    </row>
    <row r="24" spans="1:17" x14ac:dyDescent="0.3">
      <c r="A24" s="12"/>
      <c r="B24" s="19"/>
      <c r="C24" s="40" t="s">
        <v>28</v>
      </c>
      <c r="D24" s="40"/>
      <c r="E24" s="41">
        <v>0.375</v>
      </c>
      <c r="F24" s="41"/>
      <c r="G24" s="41"/>
      <c r="H24" s="41">
        <v>0.75</v>
      </c>
      <c r="I24" s="41"/>
      <c r="J24" s="41"/>
      <c r="K24" s="42" t="s">
        <v>29</v>
      </c>
      <c r="L24" s="43"/>
      <c r="M24" s="43"/>
      <c r="N24" s="43"/>
      <c r="O24" s="43"/>
      <c r="P24" s="44"/>
      <c r="Q24" s="17"/>
    </row>
    <row r="25" spans="1:17" x14ac:dyDescent="0.3">
      <c r="A25" s="12"/>
      <c r="B25" s="19"/>
      <c r="C25" s="45" t="s">
        <v>30</v>
      </c>
      <c r="D25" s="45"/>
      <c r="E25" s="41"/>
      <c r="F25" s="46"/>
      <c r="G25" s="46"/>
      <c r="H25" s="41"/>
      <c r="I25" s="46"/>
      <c r="J25" s="46"/>
      <c r="K25" s="42"/>
      <c r="L25" s="43"/>
      <c r="M25" s="43"/>
      <c r="N25" s="43"/>
      <c r="O25" s="43"/>
      <c r="P25" s="44"/>
      <c r="Q25" s="17"/>
    </row>
    <row r="26" spans="1:17" x14ac:dyDescent="0.3">
      <c r="A26" s="12"/>
      <c r="B26" s="19"/>
      <c r="C26" s="33"/>
      <c r="D26" s="47"/>
      <c r="E26" s="48"/>
      <c r="F26" s="48"/>
      <c r="G26" s="47"/>
      <c r="H26" s="48"/>
      <c r="I26" s="48"/>
      <c r="J26" s="48"/>
      <c r="K26" s="48"/>
      <c r="L26" s="48"/>
      <c r="M26" s="48"/>
      <c r="N26" s="48"/>
      <c r="O26" s="49"/>
      <c r="P26" s="49"/>
      <c r="Q26" s="17"/>
    </row>
    <row r="27" spans="1:17" x14ac:dyDescent="0.3">
      <c r="A27" s="12"/>
      <c r="B27" s="19"/>
      <c r="C27" s="14" t="s">
        <v>31</v>
      </c>
      <c r="D27" s="50" t="s">
        <v>32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35"/>
    </row>
    <row r="28" spans="1:17" x14ac:dyDescent="0.3">
      <c r="A28" s="12"/>
      <c r="B28" s="19"/>
      <c r="C28" s="26"/>
      <c r="D28" s="36" t="s">
        <v>33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51"/>
    </row>
    <row r="29" spans="1:17" x14ac:dyDescent="0.3">
      <c r="A29" s="12"/>
      <c r="B29" s="19"/>
      <c r="C29" s="49"/>
      <c r="D29" s="52"/>
      <c r="E29" s="52"/>
      <c r="F29" s="52"/>
      <c r="G29" s="52"/>
      <c r="H29" s="52"/>
      <c r="I29" s="52"/>
      <c r="J29" s="52"/>
      <c r="K29" s="52"/>
      <c r="L29" s="53" t="s">
        <v>34</v>
      </c>
      <c r="M29" s="53"/>
      <c r="N29" s="53"/>
      <c r="O29" s="53"/>
      <c r="P29" s="53"/>
      <c r="Q29" s="51"/>
    </row>
    <row r="30" spans="1:17" x14ac:dyDescent="0.3">
      <c r="A30" s="12"/>
      <c r="B30" s="19"/>
      <c r="C30" s="54" t="s">
        <v>35</v>
      </c>
      <c r="D30" s="36" t="s">
        <v>36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17"/>
    </row>
    <row r="31" spans="1:17" x14ac:dyDescent="0.3">
      <c r="A31" s="12"/>
      <c r="B31" s="19"/>
      <c r="C31" s="31" t="s">
        <v>37</v>
      </c>
      <c r="D31" s="36" t="s">
        <v>38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17"/>
    </row>
    <row r="32" spans="1:17" x14ac:dyDescent="0.3">
      <c r="A32" s="12"/>
      <c r="B32" s="19"/>
      <c r="C32" s="52"/>
      <c r="D32" s="52"/>
      <c r="E32" s="52"/>
      <c r="F32" s="52"/>
      <c r="G32" s="52"/>
      <c r="H32" s="52"/>
      <c r="I32" s="52"/>
      <c r="J32" s="52"/>
      <c r="K32" s="52"/>
      <c r="L32" s="53" t="s">
        <v>34</v>
      </c>
      <c r="M32" s="53"/>
      <c r="N32" s="53"/>
      <c r="O32" s="53"/>
      <c r="P32" s="53"/>
      <c r="Q32" s="51"/>
    </row>
    <row r="33" spans="1:19" x14ac:dyDescent="0.3">
      <c r="A33" s="12"/>
      <c r="B33" s="19" t="s">
        <v>39</v>
      </c>
      <c r="C33" s="13"/>
      <c r="D33" s="13"/>
      <c r="E33" s="13"/>
      <c r="F33" s="13"/>
      <c r="G33" s="13"/>
      <c r="H33" s="13"/>
      <c r="I33" s="13"/>
      <c r="J33" s="13"/>
      <c r="K33" s="13"/>
      <c r="L33" s="15"/>
      <c r="M33" s="15"/>
      <c r="N33" s="15"/>
      <c r="O33" s="15"/>
      <c r="P33" s="15"/>
      <c r="Q33" s="17"/>
    </row>
    <row r="34" spans="1:19" x14ac:dyDescent="0.3">
      <c r="A34" s="12"/>
      <c r="B34" s="19"/>
      <c r="C34" s="14" t="s">
        <v>6</v>
      </c>
      <c r="D34" s="50" t="s">
        <v>40</v>
      </c>
      <c r="E34" s="34"/>
      <c r="F34" s="55">
        <v>36000000</v>
      </c>
      <c r="G34" s="55"/>
      <c r="H34" s="55"/>
      <c r="I34" s="55"/>
      <c r="J34" s="13" t="s">
        <v>41</v>
      </c>
      <c r="K34" s="13"/>
      <c r="L34" s="56"/>
      <c r="M34" s="15"/>
      <c r="N34" s="15"/>
      <c r="O34" s="15"/>
      <c r="P34" s="15"/>
      <c r="Q34" s="17"/>
    </row>
    <row r="35" spans="1:19" x14ac:dyDescent="0.3">
      <c r="A35" s="12"/>
      <c r="B35" s="19"/>
      <c r="C35" s="14" t="s">
        <v>11</v>
      </c>
      <c r="D35" s="50" t="s">
        <v>42</v>
      </c>
      <c r="E35" s="34"/>
      <c r="F35" s="57">
        <v>3000000</v>
      </c>
      <c r="G35" s="57"/>
      <c r="H35" s="57"/>
      <c r="I35" s="57"/>
      <c r="J35" s="13" t="s">
        <v>43</v>
      </c>
      <c r="K35" s="13"/>
      <c r="L35" s="15"/>
      <c r="M35" s="15"/>
      <c r="N35" s="15"/>
      <c r="O35" s="15"/>
      <c r="P35" s="15"/>
      <c r="Q35" s="17"/>
    </row>
    <row r="36" spans="1:19" x14ac:dyDescent="0.3">
      <c r="A36" s="12"/>
      <c r="B36" s="19"/>
      <c r="C36" s="13"/>
      <c r="D36" s="13"/>
      <c r="E36" s="13"/>
      <c r="F36" s="58"/>
      <c r="G36" s="58"/>
      <c r="H36" s="58"/>
      <c r="I36" s="58"/>
      <c r="J36" s="13"/>
      <c r="K36" s="13"/>
      <c r="L36" s="15"/>
      <c r="M36" s="15"/>
      <c r="N36" s="15"/>
      <c r="O36" s="15"/>
      <c r="P36" s="15"/>
      <c r="Q36" s="17"/>
    </row>
    <row r="37" spans="1:19" x14ac:dyDescent="0.3">
      <c r="A37" s="12"/>
      <c r="B37" s="19"/>
      <c r="C37" s="59" t="s">
        <v>44</v>
      </c>
      <c r="D37" s="59"/>
      <c r="E37" s="59" t="s">
        <v>45</v>
      </c>
      <c r="F37" s="59"/>
      <c r="G37" s="59"/>
      <c r="H37" s="60" t="s">
        <v>46</v>
      </c>
      <c r="I37" s="60"/>
      <c r="J37" s="60"/>
      <c r="K37" s="59" t="s">
        <v>47</v>
      </c>
      <c r="L37" s="59"/>
      <c r="M37" s="59"/>
      <c r="N37" s="59" t="s">
        <v>48</v>
      </c>
      <c r="O37" s="59"/>
      <c r="P37" s="59"/>
      <c r="Q37" s="17"/>
    </row>
    <row r="38" spans="1:19" x14ac:dyDescent="0.3">
      <c r="A38" s="12"/>
      <c r="B38" s="19"/>
      <c r="C38" s="61" t="s">
        <v>49</v>
      </c>
      <c r="D38" s="61"/>
      <c r="E38" s="62">
        <f>+F35</f>
        <v>3000000</v>
      </c>
      <c r="F38" s="62"/>
      <c r="G38" s="62"/>
      <c r="H38" s="63"/>
      <c r="I38" s="63"/>
      <c r="J38" s="63"/>
      <c r="K38" s="62"/>
      <c r="L38" s="62"/>
      <c r="M38" s="62"/>
      <c r="N38" s="64">
        <f>SUM(E38:M38)</f>
        <v>3000000</v>
      </c>
      <c r="O38" s="64"/>
      <c r="P38" s="64"/>
      <c r="Q38" s="17"/>
      <c r="S38" s="112"/>
    </row>
    <row r="39" spans="1:19" x14ac:dyDescent="0.3">
      <c r="A39" s="12"/>
      <c r="B39" s="19"/>
      <c r="C39" s="61" t="s">
        <v>50</v>
      </c>
      <c r="D39" s="61"/>
      <c r="E39" s="65" t="s">
        <v>51</v>
      </c>
      <c r="F39" s="66"/>
      <c r="G39" s="67"/>
      <c r="H39" s="68">
        <v>0</v>
      </c>
      <c r="I39" s="69"/>
      <c r="J39" s="70"/>
      <c r="K39" s="71"/>
      <c r="L39" s="72"/>
      <c r="M39" s="73"/>
      <c r="N39" s="74"/>
      <c r="O39" s="75"/>
      <c r="P39" s="76"/>
      <c r="Q39" s="17"/>
      <c r="S39" s="112"/>
    </row>
    <row r="40" spans="1:19" x14ac:dyDescent="0.3">
      <c r="A40" s="77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9"/>
      <c r="S40" s="113"/>
    </row>
    <row r="41" spans="1:19" x14ac:dyDescent="0.3">
      <c r="A41" s="12"/>
      <c r="B41" s="13"/>
      <c r="C41" s="14" t="s">
        <v>31</v>
      </c>
      <c r="D41" s="80" t="s">
        <v>52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17"/>
    </row>
    <row r="42" spans="1:19" x14ac:dyDescent="0.3">
      <c r="A42" s="12"/>
      <c r="B42" s="13"/>
      <c r="C42" s="54" t="s">
        <v>35</v>
      </c>
      <c r="D42" s="36" t="s">
        <v>53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5"/>
    </row>
    <row r="43" spans="1:19" x14ac:dyDescent="0.3">
      <c r="A43" s="12"/>
      <c r="B43" s="13"/>
      <c r="C43" s="31" t="s">
        <v>37</v>
      </c>
      <c r="D43" s="36" t="s">
        <v>54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5"/>
    </row>
    <row r="44" spans="1:19" x14ac:dyDescent="0.3">
      <c r="A44" s="12"/>
      <c r="B44" s="13"/>
      <c r="C44" s="31" t="s">
        <v>55</v>
      </c>
      <c r="D44" s="36" t="s">
        <v>56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</row>
    <row r="45" spans="1:19" x14ac:dyDescent="0.3">
      <c r="A45" s="12"/>
      <c r="B45" s="13"/>
      <c r="C45" s="31" t="s">
        <v>57</v>
      </c>
      <c r="D45" s="36" t="s">
        <v>58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5"/>
    </row>
    <row r="46" spans="1:19" x14ac:dyDescent="0.3">
      <c r="A46" s="12"/>
      <c r="B46" s="13"/>
      <c r="C46" s="26"/>
      <c r="D46" s="36" t="s">
        <v>59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5"/>
    </row>
    <row r="47" spans="1:19" x14ac:dyDescent="0.3">
      <c r="A47" s="12"/>
      <c r="B47" s="1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5"/>
    </row>
    <row r="48" spans="1:19" x14ac:dyDescent="0.3">
      <c r="A48" s="12"/>
      <c r="B48" s="19" t="s">
        <v>60</v>
      </c>
      <c r="C48" s="81"/>
      <c r="D48" s="81"/>
      <c r="E48" s="81"/>
      <c r="F48" s="81"/>
      <c r="G48" s="81"/>
      <c r="H48" s="81"/>
      <c r="I48" s="81"/>
      <c r="J48" s="81"/>
      <c r="K48" s="81"/>
      <c r="L48" s="15"/>
      <c r="M48" s="15"/>
      <c r="N48" s="15"/>
      <c r="O48" s="15"/>
      <c r="P48" s="15"/>
      <c r="Q48" s="17"/>
    </row>
    <row r="49" spans="1:17" x14ac:dyDescent="0.3">
      <c r="A49" s="12"/>
      <c r="B49" s="15"/>
      <c r="C49" s="31" t="s">
        <v>6</v>
      </c>
      <c r="D49" s="82" t="s">
        <v>61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5"/>
    </row>
    <row r="50" spans="1:17" x14ac:dyDescent="0.3">
      <c r="A50" s="12"/>
      <c r="B50" s="13"/>
      <c r="C50" s="31" t="s">
        <v>11</v>
      </c>
      <c r="D50" s="36" t="s">
        <v>62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17"/>
    </row>
    <row r="51" spans="1:17" x14ac:dyDescent="0.3">
      <c r="A51" s="12"/>
      <c r="B51" s="13"/>
      <c r="C51" s="14" t="s">
        <v>63</v>
      </c>
      <c r="D51" s="50" t="s">
        <v>64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17"/>
    </row>
    <row r="52" spans="1:17" x14ac:dyDescent="0.3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5"/>
      <c r="M52" s="15"/>
      <c r="N52" s="15"/>
      <c r="O52" s="15"/>
      <c r="P52" s="15"/>
      <c r="Q52" s="17"/>
    </row>
    <row r="53" spans="1:17" x14ac:dyDescent="0.3">
      <c r="A53" s="12"/>
      <c r="B53" s="19" t="s">
        <v>65</v>
      </c>
      <c r="C53" s="13"/>
      <c r="D53" s="13"/>
      <c r="E53" s="13"/>
      <c r="F53" s="13"/>
      <c r="G53" s="13"/>
      <c r="H53" s="13"/>
      <c r="I53" s="13"/>
      <c r="J53" s="13"/>
      <c r="K53" s="13"/>
      <c r="L53" s="15"/>
      <c r="M53" s="15"/>
      <c r="N53" s="15"/>
      <c r="O53" s="15"/>
      <c r="P53" s="15"/>
      <c r="Q53" s="17"/>
    </row>
    <row r="54" spans="1:17" x14ac:dyDescent="0.3">
      <c r="A54" s="12"/>
      <c r="B54" s="15"/>
      <c r="C54" s="31" t="s">
        <v>6</v>
      </c>
      <c r="D54" s="34" t="s">
        <v>66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17"/>
    </row>
    <row r="55" spans="1:17" x14ac:dyDescent="0.3">
      <c r="A55" s="12"/>
      <c r="B55" s="13"/>
      <c r="C55" s="31" t="s">
        <v>11</v>
      </c>
      <c r="D55" s="36" t="s">
        <v>67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17"/>
    </row>
    <row r="56" spans="1:17" x14ac:dyDescent="0.3">
      <c r="A56" s="12"/>
      <c r="B56" s="1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17"/>
    </row>
    <row r="57" spans="1:17" x14ac:dyDescent="0.3">
      <c r="A57" s="12"/>
      <c r="B57" s="19" t="s">
        <v>68</v>
      </c>
      <c r="C57" s="13"/>
      <c r="D57" s="13"/>
      <c r="E57" s="13"/>
      <c r="F57" s="13"/>
      <c r="G57" s="13"/>
      <c r="H57" s="13"/>
      <c r="I57" s="13"/>
      <c r="J57" s="13"/>
      <c r="K57" s="13"/>
      <c r="L57" s="15"/>
      <c r="M57" s="15"/>
      <c r="N57" s="15"/>
      <c r="O57" s="15"/>
      <c r="P57" s="15"/>
      <c r="Q57" s="17"/>
    </row>
    <row r="58" spans="1:17" x14ac:dyDescent="0.3">
      <c r="A58" s="12"/>
      <c r="B58" s="15"/>
      <c r="C58" s="31" t="s">
        <v>6</v>
      </c>
      <c r="D58" s="36" t="s">
        <v>69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17"/>
    </row>
    <row r="59" spans="1:17" x14ac:dyDescent="0.3">
      <c r="A59" s="12"/>
      <c r="B59" s="15"/>
      <c r="C59" s="31"/>
      <c r="D59" s="36" t="s">
        <v>70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17"/>
    </row>
    <row r="60" spans="1:17" x14ac:dyDescent="0.3">
      <c r="A60" s="12"/>
      <c r="B60" s="15"/>
      <c r="C60" s="31"/>
      <c r="D60" s="36" t="s">
        <v>71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17"/>
    </row>
    <row r="61" spans="1:17" x14ac:dyDescent="0.3">
      <c r="A61" s="12"/>
      <c r="B61" s="15"/>
      <c r="C61" s="49"/>
      <c r="D61" s="52"/>
      <c r="E61" s="52"/>
      <c r="F61" s="52"/>
      <c r="G61" s="52"/>
      <c r="H61" s="52"/>
      <c r="I61" s="52"/>
      <c r="J61" s="52"/>
      <c r="K61" s="52"/>
      <c r="L61" s="53" t="s">
        <v>34</v>
      </c>
      <c r="M61" s="53"/>
      <c r="N61" s="53"/>
      <c r="O61" s="53"/>
      <c r="P61" s="53"/>
      <c r="Q61" s="17"/>
    </row>
    <row r="62" spans="1:17" x14ac:dyDescent="0.3">
      <c r="A62" s="83"/>
      <c r="B62" s="84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6"/>
    </row>
    <row r="63" spans="1:17" x14ac:dyDescent="0.3">
      <c r="A63" s="12"/>
      <c r="B63" s="15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17"/>
    </row>
    <row r="64" spans="1:17" x14ac:dyDescent="0.3">
      <c r="A64" s="12"/>
      <c r="B64" s="19" t="s">
        <v>72</v>
      </c>
      <c r="C64" s="13"/>
      <c r="D64" s="13"/>
      <c r="E64" s="81"/>
      <c r="F64" s="81"/>
      <c r="G64" s="81"/>
      <c r="H64" s="13"/>
      <c r="I64" s="13"/>
      <c r="J64" s="13"/>
      <c r="K64" s="13"/>
      <c r="L64" s="15"/>
      <c r="M64" s="15"/>
      <c r="N64" s="15"/>
      <c r="O64" s="15"/>
      <c r="P64" s="15"/>
      <c r="Q64" s="17"/>
    </row>
    <row r="65" spans="1:17" x14ac:dyDescent="0.3">
      <c r="A65" s="12"/>
      <c r="B65" s="15"/>
      <c r="C65" s="14" t="s">
        <v>6</v>
      </c>
      <c r="D65" s="34" t="s">
        <v>73</v>
      </c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17"/>
    </row>
    <row r="66" spans="1:17" x14ac:dyDescent="0.3">
      <c r="A66" s="12"/>
      <c r="B66" s="13"/>
      <c r="C66" s="87"/>
      <c r="D66" s="34" t="s">
        <v>74</v>
      </c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17"/>
    </row>
    <row r="67" spans="1:17" x14ac:dyDescent="0.3">
      <c r="A67" s="12"/>
      <c r="B67" s="13"/>
      <c r="C67" s="87"/>
      <c r="D67" s="34" t="s">
        <v>75</v>
      </c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17"/>
    </row>
    <row r="68" spans="1:17" x14ac:dyDescent="0.3">
      <c r="A68" s="12"/>
      <c r="B68" s="13"/>
      <c r="C68" s="87"/>
      <c r="D68" s="34" t="s">
        <v>76</v>
      </c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17"/>
    </row>
    <row r="69" spans="1:17" x14ac:dyDescent="0.3">
      <c r="A69" s="12"/>
      <c r="B69" s="13"/>
      <c r="C69" s="87"/>
      <c r="D69" s="34" t="s">
        <v>77</v>
      </c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17"/>
    </row>
    <row r="70" spans="1:17" x14ac:dyDescent="0.3">
      <c r="A70" s="12"/>
      <c r="B70" s="13"/>
      <c r="C70" s="87"/>
      <c r="D70" s="34" t="s">
        <v>78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17"/>
    </row>
    <row r="71" spans="1:17" x14ac:dyDescent="0.3">
      <c r="A71" s="12"/>
      <c r="B71" s="13"/>
      <c r="C71" s="87"/>
      <c r="D71" s="34" t="s">
        <v>79</v>
      </c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17"/>
    </row>
    <row r="72" spans="1:17" x14ac:dyDescent="0.3">
      <c r="A72" s="12"/>
      <c r="B72" s="13"/>
      <c r="C72" s="31" t="s">
        <v>11</v>
      </c>
      <c r="D72" s="36" t="s">
        <v>80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17"/>
    </row>
    <row r="73" spans="1:17" x14ac:dyDescent="0.3">
      <c r="A73" s="12"/>
      <c r="B73" s="13"/>
      <c r="C73" s="31"/>
      <c r="D73" s="36" t="s">
        <v>81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17"/>
    </row>
    <row r="74" spans="1:17" x14ac:dyDescent="0.3">
      <c r="A74" s="12"/>
      <c r="B74" s="13"/>
      <c r="C74" s="31" t="s">
        <v>31</v>
      </c>
      <c r="D74" s="36" t="s">
        <v>82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17"/>
    </row>
    <row r="75" spans="1:17" x14ac:dyDescent="0.3">
      <c r="A75" s="12"/>
      <c r="B75" s="13"/>
      <c r="C75" s="31"/>
      <c r="D75" s="36" t="s">
        <v>83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17"/>
    </row>
    <row r="76" spans="1:17" x14ac:dyDescent="0.3">
      <c r="A76" s="12"/>
      <c r="B76" s="13"/>
      <c r="C76" s="31"/>
      <c r="D76" s="33"/>
      <c r="E76" s="33"/>
      <c r="F76" s="33"/>
      <c r="G76" s="33"/>
      <c r="H76" s="33"/>
      <c r="I76" s="33"/>
      <c r="J76" s="33"/>
      <c r="K76" s="33"/>
      <c r="L76" s="53" t="s">
        <v>34</v>
      </c>
      <c r="M76" s="53"/>
      <c r="N76" s="53"/>
      <c r="O76" s="53"/>
      <c r="P76" s="53"/>
      <c r="Q76" s="17"/>
    </row>
    <row r="77" spans="1:17" x14ac:dyDescent="0.3">
      <c r="A77" s="12"/>
      <c r="B77" s="13"/>
      <c r="C77" s="31" t="s">
        <v>84</v>
      </c>
      <c r="D77" s="82" t="s">
        <v>85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17"/>
    </row>
    <row r="78" spans="1:17" x14ac:dyDescent="0.3">
      <c r="A78" s="12"/>
      <c r="B78" s="13"/>
      <c r="C78" s="26"/>
      <c r="D78" s="36" t="s">
        <v>86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17"/>
    </row>
    <row r="79" spans="1:17" x14ac:dyDescent="0.3">
      <c r="A79" s="12"/>
      <c r="B79" s="13"/>
      <c r="C79" s="26"/>
      <c r="D79" s="26"/>
      <c r="E79" s="26"/>
      <c r="F79" s="26"/>
      <c r="G79" s="26"/>
      <c r="H79" s="26"/>
      <c r="I79" s="26"/>
      <c r="J79" s="26"/>
      <c r="K79" s="26"/>
      <c r="L79" s="53" t="s">
        <v>34</v>
      </c>
      <c r="M79" s="53"/>
      <c r="N79" s="53"/>
      <c r="O79" s="53"/>
      <c r="P79" s="53"/>
      <c r="Q79" s="17"/>
    </row>
    <row r="80" spans="1:17" x14ac:dyDescent="0.3">
      <c r="A80" s="12"/>
      <c r="B80" s="1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17"/>
    </row>
    <row r="81" spans="1:17" x14ac:dyDescent="0.3">
      <c r="A81" s="12"/>
      <c r="B81" s="19" t="s">
        <v>87</v>
      </c>
      <c r="C81" s="13"/>
      <c r="D81" s="13"/>
      <c r="E81" s="13"/>
      <c r="F81" s="13"/>
      <c r="G81" s="13"/>
      <c r="H81" s="13"/>
      <c r="I81" s="13"/>
      <c r="J81" s="13"/>
      <c r="K81" s="13"/>
      <c r="L81" s="15"/>
      <c r="M81" s="15"/>
      <c r="N81" s="15"/>
      <c r="O81" s="15"/>
      <c r="P81" s="15"/>
      <c r="Q81" s="17"/>
    </row>
    <row r="82" spans="1:17" x14ac:dyDescent="0.3">
      <c r="A82" s="12"/>
      <c r="B82" s="15"/>
      <c r="C82" s="50" t="s">
        <v>88</v>
      </c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17"/>
    </row>
    <row r="83" spans="1:17" x14ac:dyDescent="0.3">
      <c r="A83" s="12"/>
      <c r="B83" s="13"/>
      <c r="C83" s="26"/>
      <c r="D83" s="36" t="s">
        <v>89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17"/>
    </row>
    <row r="84" spans="1:17" x14ac:dyDescent="0.3">
      <c r="A84" s="12"/>
      <c r="B84" s="13"/>
      <c r="C84" s="26"/>
      <c r="D84" s="36" t="s">
        <v>90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17"/>
    </row>
    <row r="85" spans="1:17" x14ac:dyDescent="0.3">
      <c r="A85" s="12"/>
      <c r="B85" s="13"/>
      <c r="C85" s="26"/>
      <c r="D85" s="36" t="s">
        <v>91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17"/>
    </row>
    <row r="86" spans="1:17" x14ac:dyDescent="0.3">
      <c r="A86" s="12"/>
      <c r="B86" s="1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17"/>
    </row>
    <row r="87" spans="1:17" x14ac:dyDescent="0.3">
      <c r="A87" s="12"/>
      <c r="B87" s="19" t="s">
        <v>92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7"/>
    </row>
    <row r="88" spans="1:17" x14ac:dyDescent="0.3">
      <c r="A88" s="12"/>
      <c r="B88" s="15"/>
      <c r="C88" s="82" t="s">
        <v>93</v>
      </c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8"/>
    </row>
    <row r="89" spans="1:17" x14ac:dyDescent="0.3">
      <c r="A89" s="12"/>
      <c r="B89" s="15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90"/>
    </row>
    <row r="90" spans="1:17" x14ac:dyDescent="0.3">
      <c r="A90" s="12"/>
      <c r="B90" s="19" t="s">
        <v>94</v>
      </c>
      <c r="C90" s="15"/>
      <c r="D90" s="13"/>
      <c r="E90" s="13"/>
      <c r="F90" s="13"/>
      <c r="G90" s="13"/>
      <c r="H90" s="13"/>
      <c r="I90" s="13"/>
      <c r="J90" s="13"/>
      <c r="K90" s="13"/>
      <c r="L90" s="15"/>
      <c r="M90" s="15"/>
      <c r="N90" s="15"/>
      <c r="O90" s="15"/>
      <c r="P90" s="15"/>
      <c r="Q90" s="17"/>
    </row>
    <row r="91" spans="1:17" x14ac:dyDescent="0.3">
      <c r="A91" s="12"/>
      <c r="B91" s="15"/>
      <c r="C91" s="20" t="s">
        <v>95</v>
      </c>
      <c r="D91" s="81"/>
      <c r="E91" s="81"/>
      <c r="F91" s="81"/>
      <c r="G91" s="81"/>
      <c r="H91" s="13"/>
      <c r="I91" s="13"/>
      <c r="J91" s="13"/>
      <c r="K91" s="13"/>
      <c r="L91" s="15"/>
      <c r="M91" s="15"/>
      <c r="N91" s="15"/>
      <c r="O91" s="15"/>
      <c r="P91" s="15"/>
      <c r="Q91" s="17"/>
    </row>
    <row r="92" spans="1:17" x14ac:dyDescent="0.3">
      <c r="A92" s="12"/>
      <c r="B92" s="15"/>
      <c r="C92" s="20"/>
      <c r="D92" s="81"/>
      <c r="E92" s="81"/>
      <c r="F92" s="81"/>
      <c r="G92" s="81"/>
      <c r="H92" s="13"/>
      <c r="I92" s="13"/>
      <c r="J92" s="13"/>
      <c r="K92" s="13"/>
      <c r="L92" s="15"/>
      <c r="M92" s="15"/>
      <c r="N92" s="15"/>
      <c r="O92" s="15"/>
      <c r="P92" s="15"/>
      <c r="Q92" s="17"/>
    </row>
    <row r="93" spans="1:17" x14ac:dyDescent="0.3">
      <c r="A93" s="12"/>
      <c r="B93" s="19" t="s">
        <v>96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7"/>
    </row>
    <row r="94" spans="1:17" x14ac:dyDescent="0.3">
      <c r="A94" s="12"/>
      <c r="B94" s="15"/>
      <c r="C94" s="36" t="s">
        <v>97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17"/>
    </row>
    <row r="95" spans="1:17" x14ac:dyDescent="0.3">
      <c r="A95" s="12"/>
      <c r="B95" s="15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17"/>
    </row>
    <row r="96" spans="1:17" x14ac:dyDescent="0.3">
      <c r="A96" s="12"/>
      <c r="B96" s="19" t="s">
        <v>98</v>
      </c>
      <c r="C96" s="91"/>
      <c r="D96" s="92"/>
      <c r="E96" s="92"/>
      <c r="F96" s="93"/>
      <c r="G96" s="93"/>
      <c r="H96" s="93"/>
      <c r="I96" s="93"/>
      <c r="J96" s="93"/>
      <c r="K96" s="93"/>
      <c r="L96" s="94"/>
      <c r="M96" s="95"/>
      <c r="N96" s="95"/>
      <c r="O96" s="95"/>
      <c r="P96" s="95"/>
      <c r="Q96" s="17"/>
    </row>
    <row r="97" spans="1:17" x14ac:dyDescent="0.3">
      <c r="A97" s="12"/>
      <c r="B97" s="19"/>
      <c r="C97" s="91"/>
      <c r="D97" s="92"/>
      <c r="E97" s="92"/>
      <c r="F97" s="93"/>
      <c r="G97" s="93"/>
      <c r="H97" s="93"/>
      <c r="I97" s="93"/>
      <c r="J97" s="93"/>
      <c r="K97" s="93"/>
      <c r="L97" s="94"/>
      <c r="M97" s="95"/>
      <c r="N97" s="95"/>
      <c r="O97" s="95"/>
      <c r="P97" s="95"/>
      <c r="Q97" s="17"/>
    </row>
    <row r="98" spans="1:17" x14ac:dyDescent="0.3">
      <c r="A98" s="61" t="s">
        <v>99</v>
      </c>
      <c r="B98" s="61"/>
      <c r="C98" s="61"/>
      <c r="D98" s="96">
        <f>+H4</f>
        <v>0</v>
      </c>
      <c r="E98" s="97"/>
      <c r="F98" s="98"/>
      <c r="G98" s="96" t="s">
        <v>100</v>
      </c>
      <c r="H98" s="98"/>
      <c r="I98" s="96"/>
      <c r="J98" s="97"/>
      <c r="K98" s="98"/>
      <c r="L98" s="96" t="s">
        <v>101</v>
      </c>
      <c r="M98" s="98"/>
      <c r="N98" s="99"/>
      <c r="O98" s="100"/>
      <c r="P98" s="100"/>
      <c r="Q98" s="101"/>
    </row>
    <row r="99" spans="1:17" x14ac:dyDescent="0.3">
      <c r="A99" s="61" t="s">
        <v>102</v>
      </c>
      <c r="B99" s="61"/>
      <c r="C99" s="61"/>
      <c r="D99" s="96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8"/>
    </row>
    <row r="100" spans="1:17" x14ac:dyDescent="0.3">
      <c r="A100" s="102"/>
      <c r="B100" s="22"/>
      <c r="C100" s="22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4"/>
    </row>
    <row r="101" spans="1:17" x14ac:dyDescent="0.3">
      <c r="A101" s="105">
        <f>G11</f>
        <v>46204</v>
      </c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7"/>
    </row>
    <row r="102" spans="1:17" x14ac:dyDescent="0.3">
      <c r="A102" s="12"/>
      <c r="B102" s="13"/>
      <c r="C102" s="15"/>
      <c r="D102" s="13"/>
      <c r="E102" s="13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5"/>
      <c r="Q102" s="17"/>
    </row>
    <row r="103" spans="1:17" x14ac:dyDescent="0.3">
      <c r="A103" s="12"/>
      <c r="B103" s="96" t="s">
        <v>103</v>
      </c>
      <c r="C103" s="97"/>
      <c r="D103" s="97"/>
      <c r="E103" s="97"/>
      <c r="F103" s="97"/>
      <c r="G103" s="97"/>
      <c r="H103" s="97"/>
      <c r="I103" s="98"/>
      <c r="J103" s="96" t="s">
        <v>104</v>
      </c>
      <c r="K103" s="97"/>
      <c r="L103" s="97"/>
      <c r="M103" s="97"/>
      <c r="N103" s="97"/>
      <c r="O103" s="97"/>
      <c r="P103" s="98"/>
      <c r="Q103" s="17"/>
    </row>
    <row r="104" spans="1:17" x14ac:dyDescent="0.3">
      <c r="A104" s="12"/>
      <c r="B104" s="108" t="s">
        <v>105</v>
      </c>
      <c r="C104" s="109"/>
      <c r="D104" s="109"/>
      <c r="E104" s="109"/>
      <c r="F104" s="109"/>
      <c r="G104" s="110" t="s">
        <v>106</v>
      </c>
      <c r="H104" s="110"/>
      <c r="I104" s="111"/>
      <c r="J104" s="108">
        <f>D98</f>
        <v>0</v>
      </c>
      <c r="K104" s="109"/>
      <c r="L104" s="109"/>
      <c r="M104" s="109"/>
      <c r="N104" s="110" t="s">
        <v>106</v>
      </c>
      <c r="O104" s="110"/>
      <c r="P104" s="111"/>
      <c r="Q104" s="17"/>
    </row>
    <row r="105" spans="1:17" x14ac:dyDescent="0.3">
      <c r="A105" s="12"/>
      <c r="B105" s="13"/>
      <c r="C105" s="13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7"/>
    </row>
    <row r="106" spans="1:17" x14ac:dyDescent="0.3">
      <c r="A106" s="12"/>
      <c r="B106" s="13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7"/>
    </row>
    <row r="107" spans="1:17" x14ac:dyDescent="0.3">
      <c r="A107" s="12"/>
      <c r="B107" s="13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7"/>
    </row>
    <row r="108" spans="1:17" x14ac:dyDescent="0.3">
      <c r="A108" s="83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6"/>
    </row>
  </sheetData>
  <mergeCells count="99">
    <mergeCell ref="A99:C99"/>
    <mergeCell ref="D99:Q99"/>
    <mergeCell ref="A101:Q101"/>
    <mergeCell ref="B103:I103"/>
    <mergeCell ref="J103:P103"/>
    <mergeCell ref="B104:F104"/>
    <mergeCell ref="G104:I104"/>
    <mergeCell ref="J104:M104"/>
    <mergeCell ref="N104:P104"/>
    <mergeCell ref="A98:C98"/>
    <mergeCell ref="D98:F98"/>
    <mergeCell ref="G98:H98"/>
    <mergeCell ref="I98:K98"/>
    <mergeCell ref="L98:M98"/>
    <mergeCell ref="N98:Q98"/>
    <mergeCell ref="C82:P82"/>
    <mergeCell ref="D83:P83"/>
    <mergeCell ref="D84:P84"/>
    <mergeCell ref="D85:P85"/>
    <mergeCell ref="C88:Q88"/>
    <mergeCell ref="C94:P94"/>
    <mergeCell ref="D74:P74"/>
    <mergeCell ref="D75:P75"/>
    <mergeCell ref="L76:P76"/>
    <mergeCell ref="D77:P77"/>
    <mergeCell ref="D78:P78"/>
    <mergeCell ref="L79:P79"/>
    <mergeCell ref="D68:P68"/>
    <mergeCell ref="D69:P69"/>
    <mergeCell ref="D70:P70"/>
    <mergeCell ref="D71:P71"/>
    <mergeCell ref="D72:P72"/>
    <mergeCell ref="D73:P73"/>
    <mergeCell ref="D59:P59"/>
    <mergeCell ref="D60:P60"/>
    <mergeCell ref="L61:P61"/>
    <mergeCell ref="D65:P65"/>
    <mergeCell ref="D66:P66"/>
    <mergeCell ref="D67:P67"/>
    <mergeCell ref="D49:P49"/>
    <mergeCell ref="D50:P50"/>
    <mergeCell ref="D51:P51"/>
    <mergeCell ref="D54:P54"/>
    <mergeCell ref="D55:P55"/>
    <mergeCell ref="D58:P58"/>
    <mergeCell ref="D41:P41"/>
    <mergeCell ref="D42:P42"/>
    <mergeCell ref="D43:P43"/>
    <mergeCell ref="D44:P44"/>
    <mergeCell ref="D45:P45"/>
    <mergeCell ref="D46:P46"/>
    <mergeCell ref="C39:D39"/>
    <mergeCell ref="E39:G39"/>
    <mergeCell ref="H39:J39"/>
    <mergeCell ref="K39:M39"/>
    <mergeCell ref="N39:P39"/>
    <mergeCell ref="B40:P40"/>
    <mergeCell ref="K37:M37"/>
    <mergeCell ref="N37:P37"/>
    <mergeCell ref="C38:D38"/>
    <mergeCell ref="E38:G38"/>
    <mergeCell ref="H38:J38"/>
    <mergeCell ref="K38:M38"/>
    <mergeCell ref="N38:P38"/>
    <mergeCell ref="D34:E34"/>
    <mergeCell ref="F34:I34"/>
    <mergeCell ref="D35:E35"/>
    <mergeCell ref="F35:I35"/>
    <mergeCell ref="C37:D37"/>
    <mergeCell ref="E37:G37"/>
    <mergeCell ref="H37:J37"/>
    <mergeCell ref="D27:P27"/>
    <mergeCell ref="D28:P28"/>
    <mergeCell ref="L29:P29"/>
    <mergeCell ref="D30:P30"/>
    <mergeCell ref="D31:P31"/>
    <mergeCell ref="L32:P32"/>
    <mergeCell ref="C24:D24"/>
    <mergeCell ref="E24:G24"/>
    <mergeCell ref="H24:J24"/>
    <mergeCell ref="K24:P24"/>
    <mergeCell ref="C25:D25"/>
    <mergeCell ref="E25:G25"/>
    <mergeCell ref="H25:J25"/>
    <mergeCell ref="K25:P25"/>
    <mergeCell ref="D19:P19"/>
    <mergeCell ref="D20:P20"/>
    <mergeCell ref="D21:P21"/>
    <mergeCell ref="C23:D23"/>
    <mergeCell ref="E23:G23"/>
    <mergeCell ref="H23:J23"/>
    <mergeCell ref="K23:P23"/>
    <mergeCell ref="A1:Q2"/>
    <mergeCell ref="H4:I4"/>
    <mergeCell ref="G7:L7"/>
    <mergeCell ref="G9:H9"/>
    <mergeCell ref="D10:P10"/>
    <mergeCell ref="G11:H11"/>
    <mergeCell ref="J11:K11"/>
  </mergeCells>
  <phoneticPr fontId="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사무</vt:lpstr>
      <vt:lpstr>생산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지연 백</dc:creator>
  <cp:lastModifiedBy>지연 백</cp:lastModifiedBy>
  <dcterms:created xsi:type="dcterms:W3CDTF">2026-07-07T07:10:09Z</dcterms:created>
  <dcterms:modified xsi:type="dcterms:W3CDTF">2026-07-07T07:14:00Z</dcterms:modified>
</cp:coreProperties>
</file>