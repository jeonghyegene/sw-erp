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it365-my.sharepoint.com/personal/jeonghyegene_ex-it_co_kr/Documents/문서/카카오톡 받은 파일/"/>
    </mc:Choice>
  </mc:AlternateContent>
  <xr:revisionPtr revIDLastSave="0" documentId="13_ncr:1_{EA80BADD-79E2-4568-842A-F04A0EC467C7}" xr6:coauthVersionLast="47" xr6:coauthVersionMax="47" xr10:uidLastSave="{00000000-0000-0000-0000-000000000000}"/>
  <bookViews>
    <workbookView xWindow="-120" yWindow="-120" windowWidth="29040" windowHeight="15720" xr2:uid="{DB3927F6-E272-406C-B64D-9E47DC7E9DCB}"/>
  </bookViews>
  <sheets>
    <sheet name="근로계약서" sheetId="1" r:id="rId1"/>
    <sheet name="수습계약서" sheetId="2" r:id="rId2"/>
    <sheet name="촉탁직계약서" sheetId="3" r:id="rId3"/>
    <sheet name="연봉계약서" sheetId="4" r:id="rId4"/>
    <sheet name="시급제계약서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2" i="5" l="1"/>
  <c r="K12" i="5"/>
  <c r="H12" i="5"/>
  <c r="Q2" i="4"/>
  <c r="A9" i="4" s="1"/>
  <c r="P2" i="4"/>
  <c r="O2" i="4"/>
  <c r="N2" i="4"/>
  <c r="E26" i="4" s="1"/>
  <c r="L2" i="4"/>
  <c r="K2" i="4"/>
  <c r="J2" i="4"/>
  <c r="A25" i="4"/>
  <c r="E13" i="4"/>
  <c r="D13" i="4"/>
  <c r="C13" i="4"/>
  <c r="B13" i="4"/>
  <c r="A13" i="4"/>
  <c r="E12" i="4"/>
  <c r="D12" i="4"/>
  <c r="C12" i="4"/>
  <c r="B12" i="4"/>
  <c r="F12" i="4" s="1"/>
  <c r="A12" i="4"/>
  <c r="A10" i="4"/>
  <c r="A2" i="4"/>
  <c r="A26" i="4" l="1"/>
  <c r="A6" i="4"/>
  <c r="F38" i="1"/>
  <c r="F37" i="2"/>
  <c r="F37" i="3"/>
  <c r="J12" i="3"/>
  <c r="J35" i="3" s="1"/>
  <c r="G12" i="3"/>
  <c r="A102" i="3" s="1"/>
  <c r="D99" i="3"/>
  <c r="J105" i="3" s="1"/>
  <c r="H40" i="3"/>
  <c r="E40" i="3"/>
  <c r="N40" i="3" s="1"/>
  <c r="G35" i="3"/>
  <c r="K5" i="3"/>
  <c r="G9" i="2"/>
  <c r="G11" i="2" s="1"/>
  <c r="D104" i="2"/>
  <c r="J110" i="2" s="1"/>
  <c r="H40" i="2"/>
  <c r="E40" i="2"/>
  <c r="N40" i="2" s="1"/>
  <c r="H4" i="2"/>
  <c r="G10" i="1"/>
  <c r="D104" i="1"/>
  <c r="J110" i="1" s="1"/>
  <c r="H41" i="1"/>
  <c r="E41" i="1"/>
  <c r="N41" i="1" s="1"/>
  <c r="F36" i="1"/>
  <c r="H5" i="1"/>
  <c r="A107" i="2" l="1"/>
  <c r="G35" i="2"/>
  <c r="J35" i="2" s="1"/>
  <c r="J9" i="2"/>
  <c r="J11" i="2" s="1"/>
  <c r="G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</author>
  </authors>
  <commentList>
    <comment ref="G10" authorId="0" shapeId="0" xr:uid="{891AF297-0898-4082-B55A-5518B7A1899B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정규직의 경우 최초입사일만 입력. 계약직은 계약기간 (시기, 종기) 모두 입력</t>
        </r>
      </text>
    </comment>
    <comment ref="J16" authorId="0" shapeId="0" xr:uid="{021F5163-F281-40D2-A64E-6E542851E76F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담당업무내용 입력
생산/관리직/연구개발직 등 다소 포괄적인 '직종'을 중심으로 기입함.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</author>
  </authors>
  <commentList>
    <comment ref="G9" authorId="0" shapeId="0" xr:uid="{5632FFE0-1621-42CA-BBB6-1BA7EFA8E8B8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정규직의 경우 최초입사일만 입력. 계약직은 계약기간 (시기, 종기) 모두 입력</t>
        </r>
      </text>
    </comment>
    <comment ref="G11" authorId="0" shapeId="0" xr:uid="{505613D2-1DB8-4D02-92FB-F45FAC897312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 갱신일
중도 입사자의 경우 입사일</t>
        </r>
      </text>
    </comment>
    <comment ref="J15" authorId="0" shapeId="0" xr:uid="{C6F17E89-F5CE-4FFA-A250-75505198506A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담당업무내용 입력
생산/관리직/연구개발직 등 다소 포괄적인 '직종'을 중심으로 기입함.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사용자</author>
  </authors>
  <commentList>
    <comment ref="A2" authorId="0" shapeId="0" xr:uid="{D1FCC13F-7D60-4589-8740-220C860A6D89}">
      <text>
        <r>
          <rPr>
            <b/>
            <sz val="9"/>
            <color indexed="81"/>
            <rFont val="돋움"/>
            <family val="3"/>
            <charset val="129"/>
          </rPr>
          <t>세부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근로조건은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사용자</author>
  </authors>
  <commentList>
    <comment ref="E50" authorId="0" shapeId="0" xr:uid="{88A24EBC-E979-46C3-904F-F77C7FAA58EA}">
      <text>
        <r>
          <rPr>
            <b/>
            <sz val="9"/>
            <color indexed="81"/>
            <rFont val="돋움"/>
            <family val="3"/>
            <charset val="129"/>
          </rPr>
          <t>근로자가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스케줄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주휴일이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일요일이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돋움"/>
            <family val="3"/>
            <charset val="129"/>
          </rPr>
          <t>라면</t>
        </r>
        <r>
          <rPr>
            <b/>
            <sz val="9"/>
            <color indexed="81"/>
            <rFont val="Tahoma"/>
            <family val="2"/>
          </rPr>
          <t>, '</t>
        </r>
        <r>
          <rPr>
            <b/>
            <sz val="9"/>
            <color indexed="81"/>
            <rFont val="돋움"/>
            <family val="3"/>
            <charset val="129"/>
          </rPr>
          <t>주휴일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근무일정표상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휴일</t>
        </r>
        <r>
          <rPr>
            <b/>
            <sz val="9"/>
            <color indexed="81"/>
            <rFont val="Tahoma"/>
            <family val="2"/>
          </rPr>
          <t>)'</t>
        </r>
        <r>
          <rPr>
            <b/>
            <sz val="9"/>
            <color indexed="81"/>
            <rFont val="돋움"/>
            <family val="3"/>
            <charset val="129"/>
          </rPr>
          <t>이라고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68" authorId="0" shapeId="0" xr:uid="{85600FC2-1AC6-4E40-BD5F-49A9D617E6C2}">
      <text>
        <r>
          <rPr>
            <b/>
            <sz val="9"/>
            <color indexed="81"/>
            <rFont val="돋움"/>
            <family val="3"/>
            <charset val="129"/>
          </rPr>
          <t>사직원 제출 기한을 사직하고자 하는 날로부터 10일 전까지 제출하도록 하였음. 제출기한은 회사에서 정하기 나름이나 근로계약기간이 1개월인 경우, 사직원 제출기한은 사직일로부터 최대 15일 전까지로 하는 것이 바람직함.</t>
        </r>
      </text>
    </comment>
  </commentList>
</comments>
</file>

<file path=xl/sharedStrings.xml><?xml version="1.0" encoding="utf-8"?>
<sst xmlns="http://schemas.openxmlformats.org/spreadsheetml/2006/main" count="557" uniqueCount="230">
  <si>
    <t>근  로  계  약  서</t>
    <phoneticPr fontId="5" type="noConversion"/>
  </si>
  <si>
    <t xml:space="preserve">    ㈜성원애드피아 (이하 '갑'이라 한다)는  근로자                          </t>
    <phoneticPr fontId="3" type="noConversion"/>
  </si>
  <si>
    <t xml:space="preserve">(이하 '을'이라 한다) 과(와) 아래와 같은 내용으로 근로계약을 </t>
    <phoneticPr fontId="8" type="noConversion"/>
  </si>
  <si>
    <t xml:space="preserve">체결한다. </t>
    <phoneticPr fontId="5" type="noConversion"/>
  </si>
  <si>
    <t>■       아       래       ■</t>
    <phoneticPr fontId="8" type="noConversion"/>
  </si>
  <si>
    <t xml:space="preserve"> 제 1 조 ( 근로계약기간 )</t>
    <phoneticPr fontId="8" type="noConversion"/>
  </si>
  <si>
    <t>①</t>
    <phoneticPr fontId="5" type="noConversion"/>
  </si>
  <si>
    <t xml:space="preserve">'을'의 근로계약기간은 </t>
    <phoneticPr fontId="3" type="noConversion"/>
  </si>
  <si>
    <t>~</t>
    <phoneticPr fontId="8" type="noConversion"/>
  </si>
  <si>
    <t>기한의 정함이 없는 근로계약을 체결한 것으로 한다.</t>
  </si>
  <si>
    <t xml:space="preserve">계약직의 경우 별도의 계약 갱신이 이루어지지 않는 한 상기 근로계약기간의 만료로 근로관계가 자동 종료된다. </t>
  </si>
  <si>
    <t>②</t>
    <phoneticPr fontId="5" type="noConversion"/>
  </si>
  <si>
    <t xml:space="preserve">'을'의 임금계약기간은 </t>
    <phoneticPr fontId="3" type="noConversion"/>
  </si>
  <si>
    <t>로 한다</t>
    <phoneticPr fontId="8" type="noConversion"/>
  </si>
  <si>
    <t>* 새로운 임금계약이 체결되기전까지 자동 갱신된다</t>
    <phoneticPr fontId="3" type="noConversion"/>
  </si>
  <si>
    <t xml:space="preserve"> 제 2 조 ( 근무장소 및 직종 )</t>
    <phoneticPr fontId="8" type="noConversion"/>
  </si>
  <si>
    <t>'을'의 근무장소 및 직종은</t>
  </si>
  <si>
    <t>/</t>
    <phoneticPr fontId="8" type="noConversion"/>
  </si>
  <si>
    <t>(으)로 한다.</t>
    <phoneticPr fontId="8" type="noConversion"/>
  </si>
  <si>
    <t>'갑'은 업무상 필요에 따라 '을'의 근무장소 및 직종을 변경할 수 있으며, '을'은 정당한 이유없이 이를 거부할 수 없다.</t>
  </si>
  <si>
    <t xml:space="preserve"> 제 3 조 ( 근로시간 )</t>
    <phoneticPr fontId="8" type="noConversion"/>
  </si>
  <si>
    <t>근로시간은 일 8시간, 주40시간을 원칙으로 한다.</t>
  </si>
  <si>
    <t xml:space="preserve">'을'의 기본 근로시간 및 휴게시간은 다음과 같으며, 시차출퇴근제 적용자는 회사가 지정하는 범위에서 근로자가 시업시각과 </t>
  </si>
  <si>
    <t>종업시각을 선택할 수 있다. 이 경우에도 휴게시간은 원칙적으로 12~13시로 한다</t>
    <phoneticPr fontId="5" type="noConversion"/>
  </si>
  <si>
    <t>교대조</t>
    <phoneticPr fontId="5" type="noConversion"/>
  </si>
  <si>
    <t>시업시각</t>
    <phoneticPr fontId="5" type="noConversion"/>
  </si>
  <si>
    <t>종업시각</t>
    <phoneticPr fontId="5" type="noConversion"/>
  </si>
  <si>
    <t>휴게시간</t>
    <phoneticPr fontId="5" type="noConversion"/>
  </si>
  <si>
    <t>주간조</t>
    <phoneticPr fontId="5" type="noConversion"/>
  </si>
  <si>
    <t>12:00~13:00</t>
    <phoneticPr fontId="5" type="noConversion"/>
  </si>
  <si>
    <t>야간조</t>
    <phoneticPr fontId="5" type="noConversion"/>
  </si>
  <si>
    <t>③</t>
    <phoneticPr fontId="5" type="noConversion"/>
  </si>
  <si>
    <t>갑'은 업무상 스케줄 필요에 따라 근무시간을 조정(시업 및 종업시간, 휴게시간, 단축 및 연장)할 수 있으며, 을은 주 12시간 한도내에서</t>
    <phoneticPr fontId="3" type="noConversion"/>
  </si>
  <si>
    <t xml:space="preserve">시간외 근로를 요구할 수 있다. </t>
  </si>
  <si>
    <r>
      <t xml:space="preserve">내용 확인 및 동의  </t>
    </r>
    <r>
      <rPr>
        <b/>
        <u/>
        <sz val="10"/>
        <rFont val="굴림"/>
        <family val="3"/>
        <charset val="129"/>
      </rPr>
      <t xml:space="preserve">                      </t>
    </r>
    <r>
      <rPr>
        <b/>
        <sz val="10"/>
        <rFont val="굴림"/>
        <family val="3"/>
        <charset val="129"/>
      </rPr>
      <t xml:space="preserve"> (서명)</t>
    </r>
    <phoneticPr fontId="3" type="noConversion"/>
  </si>
  <si>
    <t>④</t>
    <phoneticPr fontId="8" type="noConversion"/>
  </si>
  <si>
    <t xml:space="preserve">시간외 근로는 회사의 지시와 승인을 받은 시간만을 인정하며, 임의적인 시간외근로는 근로시간으로 인정하지 아니한다. </t>
    <phoneticPr fontId="3" type="noConversion"/>
  </si>
  <si>
    <t>⑤</t>
    <phoneticPr fontId="5" type="noConversion"/>
  </si>
  <si>
    <t xml:space="preserve">승인없이 소정근무일에 휴무를 하는 경우 사유불문하고 무단 결근으로 처리되며, 무단결근 3회누적시 징계처리 될수 있다. </t>
    <phoneticPr fontId="3" type="noConversion"/>
  </si>
  <si>
    <t xml:space="preserve"> 제 4 조 ( 급여 )</t>
    <phoneticPr fontId="8" type="noConversion"/>
  </si>
  <si>
    <t>'을'의 총연봉액은</t>
    <phoneticPr fontId="3" type="noConversion"/>
  </si>
  <si>
    <t>원 이며, 이를 매월 지급한다.</t>
    <phoneticPr fontId="5" type="noConversion"/>
  </si>
  <si>
    <t>원이며, 월급여의 구성은 다음과 같다.</t>
    <phoneticPr fontId="5" type="noConversion"/>
  </si>
  <si>
    <t>항목</t>
    <phoneticPr fontId="5" type="noConversion"/>
  </si>
  <si>
    <t>기본급</t>
    <phoneticPr fontId="5" type="noConversion"/>
  </si>
  <si>
    <t>연장근로수당</t>
    <phoneticPr fontId="5" type="noConversion"/>
  </si>
  <si>
    <t>기타수당</t>
    <phoneticPr fontId="5" type="noConversion"/>
  </si>
  <si>
    <t>월임금합계</t>
    <phoneticPr fontId="5" type="noConversion"/>
  </si>
  <si>
    <t>금액</t>
    <phoneticPr fontId="5" type="noConversion"/>
  </si>
  <si>
    <t>산정식</t>
    <phoneticPr fontId="5" type="noConversion"/>
  </si>
  <si>
    <t>시급*209</t>
    <phoneticPr fontId="5" type="noConversion"/>
  </si>
  <si>
    <t xml:space="preserve">급여는 매월 1일부터 말일까지를 산정기간으로 하여, 익월 10일(휴일인 경우 익일)에  '을' 본인명의의 계좌로 지급한다. </t>
  </si>
  <si>
    <t>월 급여 지급시 근로소득세 및 건강보험료, 국민연금, 고용보험 등의 제세공과금을 원천징수한후 지급한다.</t>
    <phoneticPr fontId="3" type="noConversion"/>
  </si>
  <si>
    <t>결근일 및 지각, 조퇴, 임의외출 등으로 근무하지 않은 시간에 대해서는 무급을 원칙으로 하며, 해당 시간 및 일에 대한 임금을</t>
    <phoneticPr fontId="3" type="noConversion"/>
  </si>
  <si>
    <t xml:space="preserve">     </t>
    <phoneticPr fontId="5" type="noConversion"/>
  </si>
  <si>
    <t xml:space="preserve">공제할 수 있다. </t>
    <phoneticPr fontId="3" type="noConversion"/>
  </si>
  <si>
    <t>⑥</t>
    <phoneticPr fontId="5" type="noConversion"/>
  </si>
  <si>
    <t>중도입사, 퇴사, 휴직, 복직 등으로 월급여 산정기간을 만근하지 못할 경우 전체 산정대상 기간 일수에 대한 근무일수를 일할계산하여</t>
    <phoneticPr fontId="3" type="noConversion"/>
  </si>
  <si>
    <t>급여를 지급한다.</t>
  </si>
  <si>
    <t xml:space="preserve"> 제 5 조 ( 퇴직금 )</t>
    <phoneticPr fontId="8" type="noConversion"/>
  </si>
  <si>
    <t>'을'의 계속근로연수가 1년 이상인 경우 '을'의 퇴직시에 계속근로연수 1년에 대하여 30일분의 평균임금을 퇴직금으로 지급한다.</t>
    <phoneticPr fontId="3" type="noConversion"/>
  </si>
  <si>
    <t xml:space="preserve"> 전항의 퇴직급여와 관련하여 근로자 퇴직급여보장법 상의 요건에 따라 퇴직연금제를 도입하여 운영할 수 있다.</t>
  </si>
  <si>
    <t>③</t>
    <phoneticPr fontId="3" type="noConversion"/>
  </si>
  <si>
    <t>'갑'은 퇴직금등 근로관계에서 발생한 일체의 금품을 '을'의 퇴직후 14일 이내에 지급하도록 한다.</t>
    <phoneticPr fontId="3" type="noConversion"/>
  </si>
  <si>
    <t xml:space="preserve"> 제 6 조 ( 휴일 ) </t>
    <phoneticPr fontId="5" type="noConversion"/>
  </si>
  <si>
    <t xml:space="preserve">근로자의 날 및 주휴일 관공서의 공휴일에 관한 규정에 따른 공휴일 및 대체공휴일을 유급휴일로 하며, </t>
    <phoneticPr fontId="3" type="noConversion"/>
  </si>
  <si>
    <t>주휴일은 1주간 소정의 근로일을 개근한 경우 부여한다.</t>
    <phoneticPr fontId="5" type="noConversion"/>
  </si>
  <si>
    <t>매주 토요일은 무급휴일로 한다.</t>
  </si>
  <si>
    <t xml:space="preserve"> 제 7 조 ( 연차휴가 )</t>
    <phoneticPr fontId="5" type="noConversion"/>
  </si>
  <si>
    <t>1년 이내에 퇴직시 1개월 만근시 1일의 연차휴가를 산정(근로기준법 제 60조 2항)하는 바, 이와 더불어 부여한 연차일수</t>
    <phoneticPr fontId="3" type="noConversion"/>
  </si>
  <si>
    <t xml:space="preserve">(회계년도기준 비례부여일수)는 총연차휴가일수에서 공제하며,  이미 초과 사용한 일수는 퇴직시 임금에서 공제한다. </t>
    <phoneticPr fontId="3" type="noConversion"/>
  </si>
  <si>
    <t>(1년이상근무의 경우도 퇴사시 입사일 기준으로 산정된 연차휴가보다 초과부여 . 사용시 동일 적용함)</t>
    <phoneticPr fontId="3" type="noConversion"/>
  </si>
  <si>
    <t xml:space="preserve"> 제 8 조 ( 근로계약의 해지 ) </t>
    <phoneticPr fontId="5" type="noConversion"/>
  </si>
  <si>
    <t>'갑'은 '을'이 다음 각 호에 해당하는 때에는 근로계약기간 중이라도 중도에 해지할 수 있다.</t>
  </si>
  <si>
    <t>1. 업무수행능력이 현저히 부족하거나 업무를 태만히 한 때(계약기간 중 '갑'은 '을'의 업무적격성을 평가한다)</t>
    <phoneticPr fontId="5" type="noConversion"/>
  </si>
  <si>
    <t>2. 고의 또는 중대한 과실로 회사에 손해를 입혔을 때</t>
    <phoneticPr fontId="5" type="noConversion"/>
  </si>
  <si>
    <t>3. 업무(량)의 변화, 사업의 종료 등의 사유로 계약의 해지가 불가피한 때</t>
    <phoneticPr fontId="5" type="noConversion"/>
  </si>
  <si>
    <t>4. 입사시 제출한 학력이나 경력이 허위인 것으로 밝혀졌을 때</t>
    <phoneticPr fontId="5" type="noConversion"/>
  </si>
  <si>
    <t>5. 기타 사회통념상 근로관계의 계속이 곤란한 사유가 있는 때</t>
    <phoneticPr fontId="5" type="noConversion"/>
  </si>
  <si>
    <t xml:space="preserve">* 계속 5일 이상 또는 월 합계가 7일 이상 결근한 경우, 근로의사가 없는 것으로 간주 징계 절차없이 자동면직 한다. </t>
    <phoneticPr fontId="5" type="noConversion"/>
  </si>
  <si>
    <t xml:space="preserve">'갑'이 '을'과의 근로계약을 중도에 해지하고자 하는 경우 30일 이전에 예고하여야 하며, 계약의 해지 (해고)에 대해 그 사유와 시기를 </t>
  </si>
  <si>
    <t>명시하여 서면으로 통보하여야 한다.</t>
    <phoneticPr fontId="3" type="noConversion"/>
  </si>
  <si>
    <t xml:space="preserve">'을'이 계약기간 도중 사직하고자 하는 경우 최소 30일 전에 근로계약의 해지의사(사직원)를 '갑'에게 제출하여 승인을 받도록 하며, </t>
  </si>
  <si>
    <t>업무인수인계에 지장이 없도록 협조하여야 하며, 이로인해 손해가 발생한 경우 이를 배상하여야 한다.</t>
    <phoneticPr fontId="3" type="noConversion"/>
  </si>
  <si>
    <t>④</t>
    <phoneticPr fontId="5" type="noConversion"/>
  </si>
  <si>
    <t>을'은 퇴직 시 지급물품 및 비품 (출입카드, 법인카드, 사무용품 등)을 퇴직 당일 회사에 반납하여야 하며, 기타 '을'의 일방적인 계약</t>
    <phoneticPr fontId="3" type="noConversion"/>
  </si>
  <si>
    <t>해지로 '갑'에게 손해가 발생한 경우 이를 배상하여야 한다.</t>
    <phoneticPr fontId="5" type="noConversion"/>
  </si>
  <si>
    <t xml:space="preserve"> 제 9 조 ( 준수사항 ) </t>
    <phoneticPr fontId="14" type="noConversion"/>
  </si>
  <si>
    <t>을'은 다음 각호의 사항을 엄수하여야 하며, 이를 위반할 경우 계약기간 중에라도 해고될 수 있다.</t>
    <phoneticPr fontId="14" type="noConversion"/>
  </si>
  <si>
    <t>1. '을'은 직무 중 지득한 '갑'의 영업 기밀, 기타 사업과 관련된 주요 정보를 제3자에게 누설하여서는 아니된다.</t>
    <phoneticPr fontId="5" type="noConversion"/>
  </si>
  <si>
    <t xml:space="preserve">2. '을'은 자신의 연봉액에 대한 기밀을 유지하여야 하며, 타인의 연봉액을 알게 될 경우 회사의 승인없이 제3자에게 유출하여서는 </t>
    <phoneticPr fontId="5" type="noConversion"/>
  </si>
  <si>
    <t xml:space="preserve">    아니된다.</t>
    <phoneticPr fontId="5" type="noConversion"/>
  </si>
  <si>
    <t xml:space="preserve"> 제 10 조 ( 계약의 변경 ) </t>
    <phoneticPr fontId="5" type="noConversion"/>
  </si>
  <si>
    <t xml:space="preserve">갑'은 계약기간 중 계약 내용을 변경하여야 할 중대하고 명백한 사정이 있는 경우 '을'과의 협의로 근로계약의 내용을 변경할 수 있다. </t>
    <phoneticPr fontId="5" type="noConversion"/>
  </si>
  <si>
    <t xml:space="preserve"> 제 11 조 ( 손해배상 ) </t>
    <phoneticPr fontId="5" type="noConversion"/>
  </si>
  <si>
    <t>을'이 고의 또는 중대한 과실로 '갑'에게 손해를 끼친 경우 '을'은 이를 배상하여야 한다.</t>
    <phoneticPr fontId="5" type="noConversion"/>
  </si>
  <si>
    <t xml:space="preserve"> 제 12 조 ( 기타의 근로조건 )</t>
    <phoneticPr fontId="8" type="noConversion"/>
  </si>
  <si>
    <t xml:space="preserve">본 계약에서 정하지 아니한 사항에 대하여는 노동관계법령 및 취업규칙의 내용에 따른다. </t>
    <phoneticPr fontId="8" type="noConversion"/>
  </si>
  <si>
    <t xml:space="preserve"> 본 계약서는 근로자와 사용자가 날인한 후 '갑'과 '을'이 각 1부씩 보관한다.</t>
    <phoneticPr fontId="5" type="noConversion"/>
  </si>
  <si>
    <t>성   명</t>
    <phoneticPr fontId="5" type="noConversion"/>
  </si>
  <si>
    <t>개인연락처</t>
    <phoneticPr fontId="3" type="noConversion"/>
  </si>
  <si>
    <t>주민등록 No.</t>
    <phoneticPr fontId="8" type="noConversion"/>
  </si>
  <si>
    <t>주   소</t>
    <phoneticPr fontId="5" type="noConversion"/>
  </si>
  <si>
    <t xml:space="preserve"> '갑'  : ㈜성원애드피아 대표이사 </t>
    <phoneticPr fontId="5" type="noConversion"/>
  </si>
  <si>
    <t xml:space="preserve"> '을'  :    근      로      자</t>
    <phoneticPr fontId="5" type="noConversion"/>
  </si>
  <si>
    <t>정대원</t>
    <phoneticPr fontId="5" type="noConversion"/>
  </si>
  <si>
    <t xml:space="preserve">(서명 또는 인)     </t>
    <phoneticPr fontId="3" type="noConversion"/>
  </si>
  <si>
    <t>성수사옥</t>
    <phoneticPr fontId="3" type="noConversion"/>
  </si>
  <si>
    <t>인사팀</t>
    <phoneticPr fontId="3" type="noConversion"/>
  </si>
  <si>
    <t>수 습(계 약)  계  약  서</t>
    <phoneticPr fontId="5" type="noConversion"/>
  </si>
  <si>
    <t xml:space="preserve">    ㈜성원애드피아 (이하 '사업체'이라 한다)는  근로자                          </t>
  </si>
  <si>
    <t xml:space="preserve">(이하 근로자이라 한다) 과(와) 아래와 같은 내용으로 근로계약을 </t>
  </si>
  <si>
    <t xml:space="preserve">근로자의 근로계약기간은 </t>
  </si>
  <si>
    <t>로 하며, 계약직의 경우 별도의 계약 갱신이</t>
    <phoneticPr fontId="8" type="noConversion"/>
  </si>
  <si>
    <t xml:space="preserve">이루어지지 않는 한 상기 근로계약기간의 만료로 근로관계가 자동 종료된다. </t>
    <phoneticPr fontId="3" type="noConversion"/>
  </si>
  <si>
    <t xml:space="preserve">근로자의 임금계약기간은 </t>
  </si>
  <si>
    <t>근로자의 근무장소 및 직종은</t>
  </si>
  <si>
    <t>사업체'은 업무상 필요에 따라 근로자의 근무장소 및 직종을 변경할 수 있으며, 근로자는 정당한 이유없이 이를 거부할 수 없다.</t>
  </si>
  <si>
    <t>근로시간은 일 8시간, 주40시간을 원칙으로 한다.</t>
    <phoneticPr fontId="3" type="noConversion"/>
  </si>
  <si>
    <t xml:space="preserve">근로자의 기본 근로시간 및 휴게시간은 다음과 같으며, 시차출퇴근제 적용자는 회사가 지정하는 범위에서 근로자가 시업시각과 </t>
  </si>
  <si>
    <t>사업체'은 업무상 스케줄 필요에 따라 근무시간을 조정(시업 및 종업시간, 휴게시간, 단축 및 연장)할 수 있으며, 을은 주 12시간 한도내에서</t>
  </si>
  <si>
    <t>로 한다.</t>
    <phoneticPr fontId="8" type="noConversion"/>
  </si>
  <si>
    <t>근로자의 총월봉액은</t>
  </si>
  <si>
    <t xml:space="preserve">급여는 매월 1일부터 말일까지를 산정기간으로 하여, 익월 10일(휴일인 경우 익일)에  근로자 본인명의의 계좌로 지급한다. </t>
  </si>
  <si>
    <t>근로자의 계속근로연수가 1년 이상인 경우 근로자의 퇴직시에 계속근로연수 1년에 대하여 30일분의 평균임금을 퇴직금으로 지급한다.</t>
  </si>
  <si>
    <t>'사업체'은 퇴직금등 근로관계에서 발생한 일체의 금품을 근로자의 퇴직후 14일 이내에 지급하도록 한다.</t>
  </si>
  <si>
    <t xml:space="preserve"> 제 8 조 ( 수습기간 및 근로계약의 해지 ) </t>
    <phoneticPr fontId="5" type="noConversion"/>
  </si>
  <si>
    <t>사업체'는 근로자가 다음 각 호에 해당하는 때에는 근로계약기간 중이라도 중도에 해지할 수 있다.</t>
    <phoneticPr fontId="3" type="noConversion"/>
  </si>
  <si>
    <t>1. 업무수행능력이 현저히 부족하거나 업무를 태만히 한 때(계약기간 중 '사업체'은 근로자의 업무적격성을 평가한다)</t>
  </si>
  <si>
    <t>사업체'가 근로자와의 수습계약을 중도에 해지하고자 하는 경우 계약의 해지 (해고)에 대해 그 사유와 시기를 명시하여 서면으로 통보 한다.</t>
    <phoneticPr fontId="3" type="noConversion"/>
  </si>
  <si>
    <t>사업체’은 ‘을’의 직무적성과 업무수행능력 및 업무적격성을 판단하기 위하여 입사 후 (3)개월간의 수습기간 두며, 
회사가 필요하다고 인정하는 경우에는 기간을, 단축, 연장조정, 면제 할 수 있다.</t>
    <phoneticPr fontId="3" type="noConversion"/>
  </si>
  <si>
    <t xml:space="preserve">수습 계약 기간 동안 수습 평가를 통해 정규직 채용여부를 결정하여 ‘을’에게 고지한다.
수습평가는 1개월 단위로 평가를 진행하며, 평가점수에 따라 정직원 전환, 수습연장, 즉시 수습종료로 진행 될수 있다.
(평가점수 70점 이상 : 정규직 전환 / 60점 이상 70점 미만 : 수습연장 또는 종료 / 60점 미만 : 수습 종료) </t>
    <phoneticPr fontId="3" type="noConversion"/>
  </si>
  <si>
    <t xml:space="preserve">을'이 계약기간 도중 사직하고자 하는 경우 최소 30일 전에 근로계약의 해지의사(사직원)를 '사업체'에게 제출하여 승인을 받도록 하며, </t>
    <phoneticPr fontId="3" type="noConversion"/>
  </si>
  <si>
    <t>을'은 퇴직 시 지급물품 및 비품 (출입카드, 법인카드, 사무용품 등)을 퇴직 당일 회사에 반납하여야 하며, 기타 근로자의 일방적인 계약</t>
  </si>
  <si>
    <t>해지로 '사업체'에게 손해가 발생한 경우 이를 배상하여야 한다.</t>
  </si>
  <si>
    <t>1. 근로자는 직무 중 지득한 '사업체'의 영업 기밀, 기타 사업과 관련된 주요 정보를 제3자에게 누설하여서는 아니된다.</t>
  </si>
  <si>
    <t xml:space="preserve">2. 근로자는 자신의 연봉액에 대한 기밀을 유지하여야 하며, 타인의 연봉액을 알게 될 경우 회사의 승인없이 제3자에게 유출하여서는 </t>
  </si>
  <si>
    <t xml:space="preserve">사업체'은 계약기간 중 계약 내용을 변경하여야 할 중대하고 명백한 사정이 있는 경우 근로자와의 협의로 근로계약의 내용을 변경할 수 있다. </t>
  </si>
  <si>
    <t>을'이 고의 또는 중대한 과실로 '사업체'에게 손해를 끼친 경우 근로자는 이를 배상하여야 한다.</t>
  </si>
  <si>
    <t xml:space="preserve"> 본 계약서는 근로자와 사용자가 날인한 후 '사업체'과 근로자가 각 1부씩 보관한다.</t>
  </si>
  <si>
    <t xml:space="preserve"> '사업체'  : ㈜성원애드피아 대표이사 </t>
  </si>
  <si>
    <t xml:space="preserve"> 근로자  :    근      로      자</t>
  </si>
  <si>
    <t xml:space="preserve">시급*29(h)*1.5 </t>
  </si>
  <si>
    <t xml:space="preserve">시급*29(h)*1.5 </t>
    <phoneticPr fontId="3" type="noConversion"/>
  </si>
  <si>
    <t>촉  탁  직  근  로  계  약  서</t>
    <phoneticPr fontId="5" type="noConversion"/>
  </si>
  <si>
    <t xml:space="preserve">   촉탁직 임용 절차에 의하여 ㈜성원애드피아 (이하 '갑'이라 한다)는 촉탁직 근로자                          </t>
    <phoneticPr fontId="3" type="noConversion"/>
  </si>
  <si>
    <t xml:space="preserve">(이하 '을'이라 한다) 과(와) 아래와 같은 </t>
    <phoneticPr fontId="8" type="noConversion"/>
  </si>
  <si>
    <t xml:space="preserve">내용으로 근로계약을 체결한다. </t>
    <phoneticPr fontId="5" type="noConversion"/>
  </si>
  <si>
    <t>로 하며, 별도의 계약 갱신이</t>
    <phoneticPr fontId="8" type="noConversion"/>
  </si>
  <si>
    <t xml:space="preserve"> 제 3 조 ( 근로일 및 근로시간 )</t>
    <phoneticPr fontId="8" type="noConversion"/>
  </si>
  <si>
    <t>소정근로일은 월~금요일이며, 근로시간은 일 8시간, 주40시간을 원칙으로 한다.</t>
    <phoneticPr fontId="3" type="noConversion"/>
  </si>
  <si>
    <t>시업시각</t>
    <phoneticPr fontId="3" type="noConversion"/>
  </si>
  <si>
    <t xml:space="preserve">'을'의 임금계약기간은 </t>
  </si>
  <si>
    <t>시급*209</t>
    <phoneticPr fontId="3" type="noConversion"/>
  </si>
  <si>
    <t xml:space="preserve"> 제 5 조 ( 퇴직연금 )</t>
    <phoneticPr fontId="8" type="noConversion"/>
  </si>
  <si>
    <t>① '갑’은 [근로자퇴직급여 보장법]에 따른 확정기여형 퇴직연금제도를 도입하여 운영한다. '</t>
    <phoneticPr fontId="3" type="noConversion"/>
  </si>
  <si>
    <t xml:space="preserve">  ‘을’의 계속근로연수가 1년 이상인 경우, ‘갑’은 연간 임금총액의 12분의 1 이상의 확정기여형 퇴직연금 부담금을 ‘을’의 계좌에 납입한다.</t>
    <phoneticPr fontId="3" type="noConversion"/>
  </si>
  <si>
    <t>근로자의 날 및 주휴일(일요일)을 유급휴일로 하며, 주휴일은 1주간 소정의 근로일을 개근한 경우 부여한다.</t>
    <phoneticPr fontId="3" type="noConversion"/>
  </si>
  <si>
    <t>매주 토요일은 무급휴무일로 한다.</t>
    <phoneticPr fontId="3" type="noConversion"/>
  </si>
  <si>
    <t xml:space="preserve">연차휴가는 근로기준법 규정에 따른다. 다만, 회계연도기준으로 부여하고, 퇴사시에는 입사일 기준으로 재정산한다. </t>
    <phoneticPr fontId="3" type="noConversion"/>
  </si>
  <si>
    <t xml:space="preserve"> '갑'  : ㈜성원애드피아몰 대표이사 </t>
    <phoneticPr fontId="3" type="noConversion"/>
  </si>
  <si>
    <t>정창희</t>
    <phoneticPr fontId="5" type="noConversion"/>
  </si>
  <si>
    <t>근로자의 총연봉액은</t>
    <phoneticPr fontId="3" type="noConversion"/>
  </si>
  <si>
    <t xml:space="preserve">원이며, </t>
    <phoneticPr fontId="5" type="noConversion"/>
  </si>
  <si>
    <t>연 봉 계 약 서</t>
  </si>
  <si>
    <t>제1조 (연봉계약기간)</t>
  </si>
  <si>
    <t>제2조 (연봉액 및 월급여의 구성항목)</t>
  </si>
  <si>
    <t>항목</t>
  </si>
  <si>
    <t>기본급</t>
  </si>
  <si>
    <t>연장근로수당</t>
  </si>
  <si>
    <t>야간근로수당</t>
  </si>
  <si>
    <t>휴일근로수당</t>
  </si>
  <si>
    <t>월임금합계</t>
  </si>
  <si>
    <t>③ 연장·야간·휴일근로는 “갑”이 지시하거나 승인한 경우에만 인정되며, 상기 임금구성항목에 포함되어 있는 법정수당을 합산한 금액을 초과한 경우는 보상휴가를 부여한다.</t>
  </si>
  <si>
    <t>④ 상기 구성항목 외의 임금은 임금관리규정에 따른다.</t>
  </si>
  <si>
    <t>⑤ “을”이 결근일 및 지각, 조퇴, 임의외출 등으로 근무하지 않은 시간에 대해서는 무급을 원칙으로 하며, 해당 시간 및 일에 대한 임금을 공제할 수 있다.</t>
  </si>
  <si>
    <t>⑥ 중도입사, 퇴사, 휴직, 복직 등으로 월급여 산정기간을 만근하지 못할 경우 전체 산정대상 기간 일수에 대한 근무일수를 일할계산하여 급여를 지급한다.</t>
  </si>
  <si>
    <t>제3조 (급여의 계산방법 및 지급방법)</t>
  </si>
  <si>
    <t>① 월급여액의 산정기간은 매월 1일부터 말일까지로 한다.</t>
  </si>
  <si>
    <t>② 급여의 지급 시기는 익월 10일(휴일인 경우 익일)로 하며, “을”이 지정하는 본인명의 계좌로 입금한다.</t>
  </si>
  <si>
    <t>③ 월 급여 지급 시 근로소득세 및 건강보험료, 국민연금, 고용보험 등의 제세공과금을 원천징수한 후 지급한다.</t>
  </si>
  <si>
    <t>제4조 (기타)</t>
  </si>
  <si>
    <t>① “을”은 본인의 급여내역을 다른 직원 또는 제3자에게 누설하여서는 아니 된다.</t>
  </si>
  <si>
    <t>② 이 계약에 정함이 없는 사항은 취업규칙, 급여규정 등 제규정과 노동관계법령에 따른다.</t>
  </si>
  <si>
    <t>“을” 본인은 상기 내용을 충분히 이해하고 본 연봉계약을 체결하였으며, “갑”으로부터 연봉계약서 1부를 교부받았음을 확인합니다.   
 확인자 :                      (인)</t>
    <phoneticPr fontId="5" type="noConversion"/>
  </si>
  <si>
    <t>※ 임금 구성항목 중 해당하지 않는 항목은 삭제 가능합니다.</t>
  </si>
  <si>
    <t>(주)성원애드피아 (이하 “갑”이라고 한다)와 근로자        (이하 “을”이라 한다)은(는) 다음과 같이 연봉계약을 체결하고, 2부를 작성하여 각각 1부씩 보관한다.</t>
    <phoneticPr fontId="3" type="noConversion"/>
  </si>
  <si>
    <t>회사명</t>
  </si>
  <si>
    <t>대표자</t>
  </si>
  <si>
    <t>회사주소</t>
  </si>
  <si>
    <t>성명</t>
  </si>
  <si>
    <t>주소</t>
  </si>
  <si>
    <t>시작일</t>
  </si>
  <si>
    <t>종료일</t>
  </si>
  <si>
    <t>연봉</t>
  </si>
  <si>
    <t>기  간  제  근  로  계  약  서</t>
    <phoneticPr fontId="5" type="noConversion"/>
  </si>
  <si>
    <t xml:space="preserve">    ㈜성원푸드몰 (이하 '갑'이라 한다)는  근로자                          </t>
    <phoneticPr fontId="3" type="noConversion"/>
  </si>
  <si>
    <r>
      <t xml:space="preserve">근로시간은 </t>
    </r>
    <r>
      <rPr>
        <u/>
        <sz val="10"/>
        <color theme="1"/>
        <rFont val="굴림"/>
        <family val="3"/>
        <charset val="129"/>
      </rPr>
      <t>일     시간, 주    시간</t>
    </r>
    <r>
      <rPr>
        <sz val="10"/>
        <color theme="1"/>
        <rFont val="굴림"/>
        <family val="3"/>
        <charset val="129"/>
      </rPr>
      <t>을 원칙으로 하며 스케줄 근무에 따른 휴일 및 근로일이 달라질 수 있다.</t>
    </r>
    <phoneticPr fontId="3" type="noConversion"/>
  </si>
  <si>
    <t xml:space="preserve">'을'의 기본 근로시간 및 휴게시간은 다음과 같다. </t>
    <phoneticPr fontId="3" type="noConversion"/>
  </si>
  <si>
    <t>'갑'은 업무상 스케줄 필요에 따라 근무시간을 조정(시업 및 종업시각 조정, 휴게시간 단축/연장)할 수 있으며, 을은 주 12시간 한도내에서</t>
    <phoneticPr fontId="3" type="noConversion"/>
  </si>
  <si>
    <t xml:space="preserve"> ① </t>
    <phoneticPr fontId="3" type="noConversion"/>
  </si>
  <si>
    <t xml:space="preserve"> ② </t>
    <phoneticPr fontId="3" type="noConversion"/>
  </si>
  <si>
    <t>상여금 : 있음 (       ) , 없음 (         )</t>
    <phoneticPr fontId="3" type="noConversion"/>
  </si>
  <si>
    <t xml:space="preserve"> ③ </t>
    <phoneticPr fontId="3" type="noConversion"/>
  </si>
  <si>
    <t>기타급여 (제수당 등) : 있음                    원 (내역별 기재 ), 없음 (       )</t>
    <phoneticPr fontId="3" type="noConversion"/>
  </si>
  <si>
    <t xml:space="preserve"> ④ </t>
    <phoneticPr fontId="3" type="noConversion"/>
  </si>
  <si>
    <t>초과근로에 대한 가산임금률:  50 %</t>
    <phoneticPr fontId="3" type="noConversion"/>
  </si>
  <si>
    <t>⑦</t>
    <phoneticPr fontId="3" type="noConversion"/>
  </si>
  <si>
    <t>⑧</t>
    <phoneticPr fontId="3" type="noConversion"/>
  </si>
  <si>
    <t xml:space="preserve"> 제 5 조 ( 퇴직급여 등 )</t>
    <phoneticPr fontId="8" type="noConversion"/>
  </si>
  <si>
    <t>‘을’의 계속근로연수가 1년 이상인 경우, ‘갑’은 연간 임금총액의 12분의 1 이상의 확정기여형 퇴직연금 부담금을 ‘을’의 계좌에 납입한다.</t>
    <phoneticPr fontId="3" type="noConversion"/>
  </si>
  <si>
    <t>'갑'은 근로관계에서 발생한 일체의 금품을 '을'의 퇴직후 14일 이내에 지급하도록 한다.</t>
    <phoneticPr fontId="3" type="noConversion"/>
  </si>
  <si>
    <t xml:space="preserve">연차휴가는 근로기준법 규정에 따라 부여한다. 다만, 회계연도기준으로 부여하고, 퇴사시에는 입사일 기준으로 재정산한다. </t>
    <phoneticPr fontId="3" type="noConversion"/>
  </si>
  <si>
    <t xml:space="preserve">'갑'이 '을'과의 근로계약을 중도에 해지하고자 하는 경우 10일 이전에 예고하여야 하며, 계약의 해지 (해고)에 대해 그 사유와 시기를 </t>
    <phoneticPr fontId="3" type="noConversion"/>
  </si>
  <si>
    <t xml:space="preserve">명시하여 서면으로 통보하여야 한다. 다만, 근로기준법에 따라 해고예고 적용제외사유에 해당하는 경우에는 해고예고를 하지 아니한다. </t>
    <phoneticPr fontId="3" type="noConversion"/>
  </si>
  <si>
    <t xml:space="preserve">'을'이 계약기간 도중 사직하고자 하는 경우 최소 10일 전에 근로계약의 해지의사(사직원)를 '갑'에게 제출하여 승인을 받도록 하며, </t>
    <phoneticPr fontId="3" type="noConversion"/>
  </si>
  <si>
    <t>'을'은 퇴직 시 지급물품 및 비품 (출입카드, 유니폼, 사무용품 등)을 퇴직 당일 회사에 반납하여야 하며, 기타 '을'의 일방적인 계약</t>
    <phoneticPr fontId="3" type="noConversion"/>
  </si>
  <si>
    <t xml:space="preserve"> 제 9 조 ( 비밀유지의무 ) </t>
    <phoneticPr fontId="14" type="noConversion"/>
  </si>
  <si>
    <t>'을'은 다음 각호의 사항을 엄수하여야 하며, 이를 위반할 경우 계약기간 중에라도 해고될 수 있다.</t>
    <phoneticPr fontId="14" type="noConversion"/>
  </si>
  <si>
    <t xml:space="preserve"> 제 10 조 ( 준수사항 )</t>
    <phoneticPr fontId="8" type="noConversion"/>
  </si>
  <si>
    <t>'을'은 시업 시각부터 업무를 수행하여야 하며, 업무 시에는 유니폼 착용 및 단정한 용모 차림으로 정상적인 업무 수행에 '차질이 없도록</t>
    <phoneticPr fontId="3" type="noConversion"/>
  </si>
  <si>
    <t xml:space="preserve"> 하여야 한다.</t>
    <phoneticPr fontId="3" type="noConversion"/>
  </si>
  <si>
    <t xml:space="preserve"> 제 11 조 ( 계약의 변경 ) </t>
    <phoneticPr fontId="5" type="noConversion"/>
  </si>
  <si>
    <t xml:space="preserve">'갑'은 계약기간 중 계약 내용을 변경하여야 할 중대하고 명백한 사정이 있는 경우 '을'과의 협의로 근로계약의 내용을 변경할 수 있다. </t>
    <phoneticPr fontId="5" type="noConversion"/>
  </si>
  <si>
    <t xml:space="preserve"> 제 12 조 ( 손해배상 ) </t>
    <phoneticPr fontId="5" type="noConversion"/>
  </si>
  <si>
    <t>'을'이 고의 또는 중대한 과실로 '갑'에게 손해를 끼친 경우 '을'은 이를 배상하여야 한다.</t>
    <phoneticPr fontId="5" type="noConversion"/>
  </si>
  <si>
    <t xml:space="preserve"> 제 13 조 ( 기타의 근로조건 )</t>
    <phoneticPr fontId="8" type="noConversion"/>
  </si>
  <si>
    <t>2025년       월        일</t>
    <phoneticPr fontId="3" type="noConversion"/>
  </si>
  <si>
    <t xml:space="preserve"> '갑'  : ㈜성원푸드몰 대표이사 </t>
    <phoneticPr fontId="5" type="noConversion"/>
  </si>
  <si>
    <t>시간 (일,  월) 급 :                       원, 주휴수당 :                    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</si>
</sst>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yyyy&quot;/&quot;m&quot;/&quot;d;@"/>
    <numFmt numFmtId="177" formatCode="_-* #,##0.0_-;\-* #,##0.0_-;_-* &quot;-&quot;?_-;_-@_-"/>
    <numFmt numFmtId="178" formatCode="yyyy&quot;년&quot;\ m&quot;월&quot;\ d&quot;일&quot;;@"/>
    <numFmt numFmtId="179" formatCode="h:mm;@"/>
    <numFmt numFmtId="180" formatCode="#,##0&quot;원&quot;"/>
    <numFmt numFmtId="181" formatCode="yyyy/mm/dd;@"/>
  </numFmts>
  <fonts count="3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sz val="26"/>
      <name val="휴먼엑스포"/>
      <family val="1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1"/>
      <color indexed="8"/>
      <name val="Calibri"/>
      <family val="2"/>
    </font>
    <font>
      <b/>
      <u/>
      <sz val="10"/>
      <name val="굴림"/>
      <family val="3"/>
      <charset val="129"/>
    </font>
    <font>
      <i/>
      <sz val="9"/>
      <name val="굴림"/>
      <family val="3"/>
      <charset val="129"/>
    </font>
    <font>
      <sz val="9"/>
      <name val="굴림"/>
      <family val="3"/>
      <charset val="129"/>
    </font>
    <font>
      <b/>
      <u val="singleAccounting"/>
      <sz val="9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indexed="8"/>
      <name val="Calibri"/>
      <family val="2"/>
      <charset val="129"/>
    </font>
    <font>
      <b/>
      <sz val="11"/>
      <name val="굴림"/>
      <family val="3"/>
      <charset val="129"/>
    </font>
    <font>
      <i/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u val="singleAccounting"/>
      <sz val="10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sz val="11"/>
      <name val="Carlito"/>
    </font>
    <font>
      <b/>
      <sz val="18"/>
      <name val="굴림"/>
      <family val="3"/>
      <charset val="129"/>
    </font>
    <font>
      <sz val="8"/>
      <name val="굴림"/>
      <family val="3"/>
      <charset val="129"/>
    </font>
    <font>
      <b/>
      <sz val="8"/>
      <name val="굴림"/>
      <family val="3"/>
      <charset val="129"/>
    </font>
    <font>
      <b/>
      <sz val="9"/>
      <name val="굴림"/>
      <family val="3"/>
      <charset val="129"/>
    </font>
    <font>
      <i/>
      <sz val="8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u/>
      <sz val="10"/>
      <color theme="1"/>
      <name val="굴림"/>
      <family val="3"/>
      <charset val="129"/>
    </font>
    <font>
      <b/>
      <sz val="11"/>
      <color theme="0"/>
      <name val="굴림"/>
      <family val="3"/>
      <charset val="129"/>
    </font>
    <font>
      <sz val="11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theme="1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hair">
        <color rgb="FF404040"/>
      </right>
      <top style="thin">
        <color rgb="FF404040"/>
      </top>
      <bottom style="hair">
        <color rgb="FF404040"/>
      </bottom>
      <diagonal/>
    </border>
    <border>
      <left style="hair">
        <color rgb="FF404040"/>
      </left>
      <right style="hair">
        <color rgb="FF404040"/>
      </right>
      <top style="thin">
        <color rgb="FF404040"/>
      </top>
      <bottom style="hair">
        <color rgb="FF404040"/>
      </bottom>
      <diagonal/>
    </border>
    <border>
      <left style="hair">
        <color rgb="FF404040"/>
      </left>
      <right style="thin">
        <color rgb="FF404040"/>
      </right>
      <top style="thin">
        <color rgb="FF404040"/>
      </top>
      <bottom style="hair">
        <color rgb="FF404040"/>
      </bottom>
      <diagonal/>
    </border>
    <border>
      <left style="thin">
        <color rgb="FF404040"/>
      </left>
      <right style="hair">
        <color rgb="FF404040"/>
      </right>
      <top style="hair">
        <color rgb="FF404040"/>
      </top>
      <bottom style="hair">
        <color rgb="FF404040"/>
      </bottom>
      <diagonal/>
    </border>
    <border>
      <left style="hair">
        <color rgb="FF404040"/>
      </left>
      <right style="hair">
        <color rgb="FF404040"/>
      </right>
      <top style="hair">
        <color rgb="FF404040"/>
      </top>
      <bottom style="hair">
        <color rgb="FF404040"/>
      </bottom>
      <diagonal/>
    </border>
    <border>
      <left style="hair">
        <color rgb="FF404040"/>
      </left>
      <right style="thin">
        <color rgb="FF404040"/>
      </right>
      <top style="hair">
        <color rgb="FF404040"/>
      </top>
      <bottom style="hair">
        <color rgb="FF404040"/>
      </bottom>
      <diagonal/>
    </border>
    <border>
      <left style="thin">
        <color rgb="FF404040"/>
      </left>
      <right style="hair">
        <color rgb="FF404040"/>
      </right>
      <top style="hair">
        <color rgb="FF404040"/>
      </top>
      <bottom style="thin">
        <color rgb="FF404040"/>
      </bottom>
      <diagonal/>
    </border>
    <border>
      <left style="hair">
        <color rgb="FF404040"/>
      </left>
      <right style="hair">
        <color rgb="FF404040"/>
      </right>
      <top style="hair">
        <color rgb="FF404040"/>
      </top>
      <bottom style="thin">
        <color rgb="FF404040"/>
      </bottom>
      <diagonal/>
    </border>
    <border>
      <left style="hair">
        <color rgb="FF404040"/>
      </left>
      <right style="thin">
        <color rgb="FF404040"/>
      </right>
      <top style="hair">
        <color rgb="FF404040"/>
      </top>
      <bottom style="thin">
        <color rgb="FF40404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5" fillId="0" borderId="0"/>
    <xf numFmtId="41" fontId="3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1" xfId="1" applyFont="1" applyBorder="1">
      <alignment vertical="center"/>
    </xf>
    <xf numFmtId="0" fontId="6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2" fillId="0" borderId="2" xfId="1" applyFont="1" applyBorder="1">
      <alignment vertical="center"/>
    </xf>
    <xf numFmtId="0" fontId="2" fillId="0" borderId="3" xfId="1" applyFont="1" applyBorder="1">
      <alignment vertical="center"/>
    </xf>
    <xf numFmtId="0" fontId="2" fillId="0" borderId="7" xfId="1" applyFont="1" applyBorder="1">
      <alignment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2" fillId="0" borderId="8" xfId="1" applyFont="1" applyBorder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7" fillId="0" borderId="0" xfId="1" quotePrefix="1" applyFont="1">
      <alignment vertical="center"/>
    </xf>
    <xf numFmtId="14" fontId="7" fillId="0" borderId="0" xfId="1" applyNumberFormat="1" applyFont="1">
      <alignment vertical="center"/>
    </xf>
    <xf numFmtId="0" fontId="7" fillId="0" borderId="0" xfId="0" applyFont="1">
      <alignment vertical="center"/>
    </xf>
    <xf numFmtId="176" fontId="7" fillId="0" borderId="0" xfId="1" applyNumberFormat="1" applyFont="1">
      <alignment vertical="center"/>
    </xf>
    <xf numFmtId="0" fontId="7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14" fontId="9" fillId="0" borderId="0" xfId="1" applyNumberFormat="1" applyFont="1">
      <alignment vertical="center"/>
    </xf>
    <xf numFmtId="0" fontId="10" fillId="0" borderId="0" xfId="1" applyFont="1">
      <alignment vertical="center"/>
    </xf>
    <xf numFmtId="0" fontId="7" fillId="0" borderId="0" xfId="1" applyFont="1" applyAlignment="1">
      <alignment horizontal="center" vertical="center" wrapText="1"/>
    </xf>
    <xf numFmtId="0" fontId="9" fillId="0" borderId="0" xfId="1" applyFont="1">
      <alignment vertical="center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7" fillId="0" borderId="8" xfId="1" applyFont="1" applyBorder="1" applyAlignment="1">
      <alignment vertical="center" wrapText="1"/>
    </xf>
    <xf numFmtId="0" fontId="6" fillId="0" borderId="8" xfId="1" applyFont="1" applyBorder="1" applyAlignment="1">
      <alignment vertical="center" wrapText="1"/>
    </xf>
    <xf numFmtId="20" fontId="11" fillId="0" borderId="0" xfId="1" applyNumberFormat="1" applyFont="1" applyAlignment="1">
      <alignment horizontal="center" vertical="center" shrinkToFit="1"/>
    </xf>
    <xf numFmtId="0" fontId="11" fillId="0" borderId="0" xfId="1" applyFont="1" applyAlignment="1">
      <alignment horizontal="center" vertical="center" shrinkToFit="1"/>
    </xf>
    <xf numFmtId="0" fontId="6" fillId="0" borderId="0" xfId="1" applyFont="1" applyAlignment="1">
      <alignment horizontal="center" vertical="center" wrapText="1"/>
    </xf>
    <xf numFmtId="0" fontId="7" fillId="0" borderId="0" xfId="1" quotePrefix="1" applyFont="1" applyAlignment="1">
      <alignment horizontal="left" vertical="center"/>
    </xf>
    <xf numFmtId="0" fontId="7" fillId="0" borderId="8" xfId="1" applyFont="1" applyBorder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0" fontId="7" fillId="4" borderId="0" xfId="1" applyFont="1" applyFill="1" applyAlignment="1">
      <alignment horizontal="center" vertical="center" wrapText="1"/>
    </xf>
    <xf numFmtId="41" fontId="12" fillId="0" borderId="0" xfId="1" applyNumberFormat="1" applyFont="1" applyAlignment="1">
      <alignment horizontal="center" vertical="center"/>
    </xf>
    <xf numFmtId="0" fontId="11" fillId="0" borderId="0" xfId="1" applyFont="1">
      <alignment vertical="center"/>
    </xf>
    <xf numFmtId="0" fontId="2" fillId="0" borderId="7" xfId="1" applyFont="1" applyBorder="1" applyAlignment="1">
      <alignment horizontal="left" vertical="top"/>
    </xf>
    <xf numFmtId="0" fontId="2" fillId="0" borderId="8" xfId="1" applyFont="1" applyBorder="1" applyAlignment="1">
      <alignment horizontal="left" vertical="top"/>
    </xf>
    <xf numFmtId="0" fontId="7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 wrapText="1"/>
    </xf>
    <xf numFmtId="0" fontId="7" fillId="0" borderId="0" xfId="1" applyFont="1" applyAlignment="1">
      <alignment horizontal="justify" vertical="center"/>
    </xf>
    <xf numFmtId="0" fontId="7" fillId="0" borderId="0" xfId="1" quotePrefix="1" applyFont="1" applyAlignment="1">
      <alignment horizontal="left" vertical="center" wrapText="1"/>
    </xf>
    <xf numFmtId="0" fontId="2" fillId="0" borderId="4" xfId="1" applyFont="1" applyBorder="1">
      <alignment vertical="center"/>
    </xf>
    <xf numFmtId="0" fontId="2" fillId="0" borderId="5" xfId="1" applyFont="1" applyBorder="1">
      <alignment vertical="center"/>
    </xf>
    <xf numFmtId="0" fontId="7" fillId="0" borderId="5" xfId="1" applyFont="1" applyBorder="1" applyAlignment="1">
      <alignment horizontal="left" vertical="center" wrapText="1"/>
    </xf>
    <xf numFmtId="0" fontId="2" fillId="0" borderId="6" xfId="1" applyFont="1" applyBorder="1">
      <alignment vertical="center"/>
    </xf>
    <xf numFmtId="0" fontId="2" fillId="0" borderId="0" xfId="1" applyFont="1" applyAlignment="1">
      <alignment horizontal="center" vertical="center"/>
    </xf>
    <xf numFmtId="0" fontId="7" fillId="0" borderId="8" xfId="1" quotePrefix="1" applyFont="1" applyBorder="1" applyAlignment="1">
      <alignment horizontal="left" vertical="center" wrapText="1"/>
    </xf>
    <xf numFmtId="0" fontId="1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178" fontId="6" fillId="0" borderId="0" xfId="1" quotePrefix="1" applyNumberFormat="1" applyFont="1" applyAlignment="1">
      <alignment horizontal="left" vertical="center"/>
    </xf>
    <xf numFmtId="178" fontId="7" fillId="0" borderId="0" xfId="1" quotePrefix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6" fillId="0" borderId="7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top" wrapText="1"/>
    </xf>
    <xf numFmtId="0" fontId="23" fillId="0" borderId="0" xfId="0" applyFont="1">
      <alignment vertical="center"/>
    </xf>
    <xf numFmtId="0" fontId="2" fillId="0" borderId="0" xfId="2" applyFont="1" applyAlignment="1">
      <alignment horizontal="left" vertical="center" indent="1"/>
    </xf>
    <xf numFmtId="0" fontId="28" fillId="5" borderId="13" xfId="2" applyFont="1" applyFill="1" applyBorder="1" applyAlignment="1">
      <alignment horizontal="center" vertical="center" wrapText="1"/>
    </xf>
    <xf numFmtId="0" fontId="28" fillId="5" borderId="14" xfId="2" applyFont="1" applyFill="1" applyBorder="1" applyAlignment="1">
      <alignment horizontal="center" vertical="center" wrapText="1"/>
    </xf>
    <xf numFmtId="0" fontId="27" fillId="0" borderId="16" xfId="2" applyFont="1" applyBorder="1" applyAlignment="1">
      <alignment horizontal="center" vertical="center" wrapText="1"/>
    </xf>
    <xf numFmtId="180" fontId="27" fillId="0" borderId="17" xfId="2" applyNumberFormat="1" applyFont="1" applyBorder="1" applyAlignment="1">
      <alignment horizontal="center" vertical="center" wrapText="1"/>
    </xf>
    <xf numFmtId="0" fontId="27" fillId="0" borderId="19" xfId="2" applyFont="1" applyBorder="1" applyAlignment="1">
      <alignment horizontal="center" vertical="center" wrapText="1"/>
    </xf>
    <xf numFmtId="0" fontId="27" fillId="0" borderId="20" xfId="2" applyFont="1" applyBorder="1" applyAlignment="1">
      <alignment horizontal="center" vertical="center" wrapText="1"/>
    </xf>
    <xf numFmtId="0" fontId="2" fillId="0" borderId="0" xfId="0" applyFont="1" applyAlignment="1"/>
    <xf numFmtId="181" fontId="2" fillId="0" borderId="0" xfId="0" applyNumberFormat="1" applyFont="1" applyAlignment="1"/>
    <xf numFmtId="0" fontId="32" fillId="0" borderId="0" xfId="1" applyFont="1">
      <alignment vertical="center"/>
    </xf>
    <xf numFmtId="0" fontId="13" fillId="0" borderId="0" xfId="1" applyFont="1">
      <alignment vertical="center"/>
    </xf>
    <xf numFmtId="41" fontId="2" fillId="0" borderId="8" xfId="3" applyFont="1" applyBorder="1">
      <alignment vertical="center"/>
    </xf>
    <xf numFmtId="41" fontId="2" fillId="0" borderId="0" xfId="3" applyFont="1">
      <alignment vertical="center"/>
    </xf>
    <xf numFmtId="0" fontId="34" fillId="0" borderId="0" xfId="1" applyFont="1" applyAlignment="1">
      <alignment horizontal="left" vertical="top"/>
    </xf>
    <xf numFmtId="0" fontId="2" fillId="0" borderId="0" xfId="1" applyFont="1" applyAlignment="1">
      <alignment horizontal="left" vertical="top"/>
    </xf>
    <xf numFmtId="0" fontId="35" fillId="0" borderId="7" xfId="1" applyFont="1" applyBorder="1">
      <alignment vertical="center"/>
    </xf>
    <xf numFmtId="0" fontId="36" fillId="0" borderId="0" xfId="1" applyFont="1">
      <alignment vertical="center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35" fillId="0" borderId="8" xfId="1" applyFont="1" applyBorder="1">
      <alignment vertical="center"/>
    </xf>
    <xf numFmtId="0" fontId="36" fillId="0" borderId="7" xfId="1" applyFont="1" applyBorder="1">
      <alignment vertical="center"/>
    </xf>
    <xf numFmtId="0" fontId="13" fillId="0" borderId="0" xfId="1" quotePrefix="1" applyFont="1" applyAlignment="1">
      <alignment horizontal="left" vertical="center"/>
    </xf>
    <xf numFmtId="0" fontId="36" fillId="0" borderId="8" xfId="1" applyFont="1" applyBorder="1">
      <alignment vertical="center"/>
    </xf>
    <xf numFmtId="0" fontId="35" fillId="0" borderId="0" xfId="1" applyFont="1">
      <alignment vertical="center"/>
    </xf>
    <xf numFmtId="0" fontId="37" fillId="0" borderId="7" xfId="1" applyFont="1" applyBorder="1">
      <alignment vertical="center"/>
    </xf>
    <xf numFmtId="0" fontId="37" fillId="0" borderId="8" xfId="1" applyFont="1" applyBorder="1">
      <alignment vertical="center"/>
    </xf>
    <xf numFmtId="0" fontId="37" fillId="0" borderId="0" xfId="1" applyFont="1">
      <alignment vertical="center"/>
    </xf>
    <xf numFmtId="0" fontId="13" fillId="0" borderId="0" xfId="1" applyFont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3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7" fillId="0" borderId="0" xfId="1" applyFo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7" fillId="0" borderId="0" xfId="1" quotePrefix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179" fontId="7" fillId="0" borderId="9" xfId="1" applyNumberFormat="1" applyFont="1" applyBorder="1" applyAlignment="1">
      <alignment horizontal="center" vertical="center"/>
    </xf>
    <xf numFmtId="20" fontId="11" fillId="0" borderId="9" xfId="1" applyNumberFormat="1" applyFont="1" applyBorder="1" applyAlignment="1">
      <alignment horizontal="center" vertical="center" shrinkToFit="1"/>
    </xf>
    <xf numFmtId="0" fontId="11" fillId="0" borderId="9" xfId="1" applyFont="1" applyBorder="1" applyAlignment="1">
      <alignment horizontal="center" vertical="center" shrinkToFit="1"/>
    </xf>
    <xf numFmtId="0" fontId="6" fillId="0" borderId="0" xfId="1" applyFont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7" fillId="4" borderId="0" xfId="1" applyFont="1" applyFill="1" applyAlignment="1">
      <alignment horizontal="left" vertical="center" wrapText="1"/>
    </xf>
    <xf numFmtId="0" fontId="13" fillId="0" borderId="0" xfId="1" quotePrefix="1" applyFont="1" applyAlignment="1">
      <alignment horizontal="left" vertical="center"/>
    </xf>
    <xf numFmtId="0" fontId="7" fillId="0" borderId="0" xfId="1" quotePrefix="1" applyFont="1" applyAlignment="1">
      <alignment horizontal="left" vertical="center" wrapText="1"/>
    </xf>
    <xf numFmtId="0" fontId="17" fillId="0" borderId="10" xfId="1" applyFont="1" applyBorder="1" applyAlignment="1">
      <alignment horizontal="right" vertical="center"/>
    </xf>
    <xf numFmtId="0" fontId="17" fillId="0" borderId="11" xfId="1" applyFont="1" applyBorder="1" applyAlignment="1">
      <alignment horizontal="right" vertical="center"/>
    </xf>
    <xf numFmtId="0" fontId="6" fillId="0" borderId="11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178" fontId="6" fillId="0" borderId="7" xfId="1" applyNumberFormat="1" applyFont="1" applyBorder="1" applyAlignment="1">
      <alignment horizontal="center" vertical="center"/>
    </xf>
    <xf numFmtId="178" fontId="6" fillId="0" borderId="0" xfId="1" applyNumberFormat="1" applyFont="1" applyAlignment="1">
      <alignment horizontal="center" vertical="center"/>
    </xf>
    <xf numFmtId="178" fontId="6" fillId="0" borderId="8" xfId="1" applyNumberFormat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6" fillId="0" borderId="11" xfId="1" applyFont="1" applyBorder="1" applyAlignment="1">
      <alignment horizontal="right" vertical="center"/>
    </xf>
    <xf numFmtId="0" fontId="6" fillId="0" borderId="12" xfId="1" applyFont="1" applyBorder="1" applyAlignment="1">
      <alignment horizontal="right" vertical="center"/>
    </xf>
    <xf numFmtId="0" fontId="7" fillId="0" borderId="8" xfId="1" quotePrefix="1" applyFont="1" applyBorder="1" applyAlignment="1">
      <alignment horizontal="left" vertical="center" wrapText="1"/>
    </xf>
    <xf numFmtId="41" fontId="13" fillId="0" borderId="1" xfId="1" applyNumberFormat="1" applyFont="1" applyBorder="1" applyAlignment="1">
      <alignment horizontal="center" vertical="center"/>
    </xf>
    <xf numFmtId="41" fontId="13" fillId="0" borderId="2" xfId="1" applyNumberFormat="1" applyFont="1" applyBorder="1" applyAlignment="1">
      <alignment horizontal="center" vertical="center"/>
    </xf>
    <xf numFmtId="41" fontId="13" fillId="0" borderId="3" xfId="1" applyNumberFormat="1" applyFont="1" applyBorder="1" applyAlignment="1">
      <alignment horizontal="center" vertical="center"/>
    </xf>
    <xf numFmtId="41" fontId="13" fillId="0" borderId="4" xfId="1" applyNumberFormat="1" applyFont="1" applyBorder="1" applyAlignment="1">
      <alignment horizontal="center" vertical="center"/>
    </xf>
    <xf numFmtId="41" fontId="13" fillId="0" borderId="5" xfId="1" applyNumberFormat="1" applyFont="1" applyBorder="1" applyAlignment="1">
      <alignment horizontal="center" vertical="center"/>
    </xf>
    <xf numFmtId="41" fontId="13" fillId="0" borderId="6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 wrapText="1"/>
    </xf>
    <xf numFmtId="177" fontId="11" fillId="0" borderId="2" xfId="1" applyNumberFormat="1" applyFont="1" applyBorder="1" applyAlignment="1">
      <alignment horizontal="center" vertical="center"/>
    </xf>
    <xf numFmtId="177" fontId="11" fillId="0" borderId="3" xfId="1" applyNumberFormat="1" applyFont="1" applyBorder="1" applyAlignment="1">
      <alignment horizontal="center" vertical="center"/>
    </xf>
    <xf numFmtId="177" fontId="11" fillId="0" borderId="4" xfId="1" applyNumberFormat="1" applyFont="1" applyBorder="1" applyAlignment="1">
      <alignment horizontal="center" vertical="center"/>
    </xf>
    <xf numFmtId="177" fontId="11" fillId="0" borderId="5" xfId="1" applyNumberFormat="1" applyFont="1" applyBorder="1" applyAlignment="1">
      <alignment horizontal="center" vertical="center"/>
    </xf>
    <xf numFmtId="177" fontId="11" fillId="0" borderId="6" xfId="1" applyNumberFormat="1" applyFont="1" applyBorder="1" applyAlignment="1">
      <alignment horizontal="center" vertical="center"/>
    </xf>
    <xf numFmtId="41" fontId="7" fillId="0" borderId="1" xfId="1" applyNumberFormat="1" applyFont="1" applyBorder="1" applyAlignment="1">
      <alignment horizontal="center" vertical="center"/>
    </xf>
    <xf numFmtId="41" fontId="7" fillId="0" borderId="2" xfId="1" applyNumberFormat="1" applyFont="1" applyBorder="1" applyAlignment="1">
      <alignment horizontal="center" vertical="center"/>
    </xf>
    <xf numFmtId="41" fontId="7" fillId="0" borderId="3" xfId="1" applyNumberFormat="1" applyFont="1" applyBorder="1" applyAlignment="1">
      <alignment horizontal="center" vertical="center"/>
    </xf>
    <xf numFmtId="41" fontId="7" fillId="0" borderId="4" xfId="1" applyNumberFormat="1" applyFont="1" applyBorder="1" applyAlignment="1">
      <alignment horizontal="center" vertical="center"/>
    </xf>
    <xf numFmtId="41" fontId="7" fillId="0" borderId="5" xfId="1" applyNumberFormat="1" applyFont="1" applyBorder="1" applyAlignment="1">
      <alignment horizontal="center" vertical="center"/>
    </xf>
    <xf numFmtId="41" fontId="7" fillId="0" borderId="6" xfId="1" applyNumberFormat="1" applyFont="1" applyBorder="1" applyAlignment="1">
      <alignment horizontal="center" vertical="center"/>
    </xf>
    <xf numFmtId="41" fontId="6" fillId="0" borderId="1" xfId="1" applyNumberFormat="1" applyFont="1" applyBorder="1" applyAlignment="1">
      <alignment horizontal="center" vertical="center"/>
    </xf>
    <xf numFmtId="41" fontId="6" fillId="0" borderId="2" xfId="1" applyNumberFormat="1" applyFont="1" applyBorder="1" applyAlignment="1">
      <alignment horizontal="center" vertical="center"/>
    </xf>
    <xf numFmtId="41" fontId="6" fillId="0" borderId="3" xfId="1" applyNumberFormat="1" applyFont="1" applyBorder="1" applyAlignment="1">
      <alignment horizontal="center" vertical="center"/>
    </xf>
    <xf numFmtId="41" fontId="6" fillId="0" borderId="4" xfId="1" applyNumberFormat="1" applyFont="1" applyBorder="1" applyAlignment="1">
      <alignment horizontal="center" vertical="center"/>
    </xf>
    <xf numFmtId="41" fontId="6" fillId="0" borderId="5" xfId="1" applyNumberFormat="1" applyFont="1" applyBorder="1" applyAlignment="1">
      <alignment horizontal="center" vertical="center"/>
    </xf>
    <xf numFmtId="41" fontId="6" fillId="0" borderId="6" xfId="1" applyNumberFormat="1" applyFont="1" applyBorder="1" applyAlignment="1">
      <alignment horizontal="center" vertical="center"/>
    </xf>
    <xf numFmtId="0" fontId="10" fillId="0" borderId="0" xfId="1" applyFont="1" applyAlignment="1">
      <alignment horizontal="left" vertical="top"/>
    </xf>
    <xf numFmtId="41" fontId="7" fillId="0" borderId="9" xfId="1" applyNumberFormat="1" applyFont="1" applyBorder="1" applyAlignment="1">
      <alignment horizontal="center" vertical="center"/>
    </xf>
    <xf numFmtId="41" fontId="6" fillId="0" borderId="9" xfId="1" applyNumberFormat="1" applyFont="1" applyBorder="1" applyAlignment="1">
      <alignment horizontal="center" vertical="center"/>
    </xf>
    <xf numFmtId="41" fontId="12" fillId="0" borderId="0" xfId="1" applyNumberFormat="1" applyFont="1" applyAlignment="1">
      <alignment horizontal="center" vertical="center"/>
    </xf>
    <xf numFmtId="41" fontId="21" fillId="0" borderId="0" xfId="1" applyNumberFormat="1" applyFont="1" applyAlignment="1">
      <alignment horizontal="center" vertical="center"/>
    </xf>
    <xf numFmtId="41" fontId="6" fillId="3" borderId="9" xfId="1" applyNumberFormat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 shrinkToFit="1"/>
    </xf>
    <xf numFmtId="0" fontId="11" fillId="0" borderId="11" xfId="1" applyFont="1" applyBorder="1" applyAlignment="1">
      <alignment horizontal="center" vertical="center" shrinkToFit="1"/>
    </xf>
    <xf numFmtId="0" fontId="11" fillId="0" borderId="12" xfId="1" applyFont="1" applyBorder="1" applyAlignment="1">
      <alignment horizontal="center" vertical="center" shrinkToFit="1"/>
    </xf>
    <xf numFmtId="20" fontId="7" fillId="0" borderId="9" xfId="1" applyNumberFormat="1" applyFont="1" applyBorder="1" applyAlignment="1">
      <alignment horizontal="center" vertical="center" shrinkToFit="1"/>
    </xf>
    <xf numFmtId="0" fontId="2" fillId="3" borderId="9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7" fillId="4" borderId="0" xfId="1" applyFont="1" applyFill="1" applyAlignment="1">
      <alignment horizontal="left" vertical="top" wrapText="1"/>
    </xf>
    <xf numFmtId="177" fontId="22" fillId="0" borderId="1" xfId="1" applyNumberFormat="1" applyFont="1" applyBorder="1" applyAlignment="1">
      <alignment horizontal="center" vertical="center" wrapText="1"/>
    </xf>
    <xf numFmtId="177" fontId="22" fillId="0" borderId="2" xfId="1" applyNumberFormat="1" applyFont="1" applyBorder="1" applyAlignment="1">
      <alignment horizontal="center" vertical="center"/>
    </xf>
    <xf numFmtId="177" fontId="22" fillId="0" borderId="3" xfId="1" applyNumberFormat="1" applyFont="1" applyBorder="1" applyAlignment="1">
      <alignment horizontal="center" vertical="center"/>
    </xf>
    <xf numFmtId="177" fontId="22" fillId="0" borderId="4" xfId="1" applyNumberFormat="1" applyFont="1" applyBorder="1" applyAlignment="1">
      <alignment horizontal="center" vertical="center"/>
    </xf>
    <xf numFmtId="177" fontId="22" fillId="0" borderId="5" xfId="1" applyNumberFormat="1" applyFont="1" applyBorder="1" applyAlignment="1">
      <alignment horizontal="center" vertical="center"/>
    </xf>
    <xf numFmtId="177" fontId="22" fillId="0" borderId="6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41" fontId="11" fillId="0" borderId="1" xfId="1" applyNumberFormat="1" applyFont="1" applyBorder="1" applyAlignment="1">
      <alignment horizontal="center" vertical="center" wrapText="1"/>
    </xf>
    <xf numFmtId="41" fontId="11" fillId="0" borderId="2" xfId="1" applyNumberFormat="1" applyFont="1" applyBorder="1" applyAlignment="1">
      <alignment horizontal="center" vertical="center"/>
    </xf>
    <xf numFmtId="41" fontId="11" fillId="0" borderId="3" xfId="1" applyNumberFormat="1" applyFont="1" applyBorder="1" applyAlignment="1">
      <alignment horizontal="center" vertical="center"/>
    </xf>
    <xf numFmtId="41" fontId="11" fillId="0" borderId="4" xfId="1" applyNumberFormat="1" applyFont="1" applyBorder="1" applyAlignment="1">
      <alignment horizontal="center" vertical="center"/>
    </xf>
    <xf numFmtId="41" fontId="11" fillId="0" borderId="5" xfId="1" applyNumberFormat="1" applyFont="1" applyBorder="1" applyAlignment="1">
      <alignment horizontal="center" vertical="center"/>
    </xf>
    <xf numFmtId="41" fontId="11" fillId="0" borderId="6" xfId="1" applyNumberFormat="1" applyFont="1" applyBorder="1" applyAlignment="1">
      <alignment horizontal="center" vertical="center"/>
    </xf>
    <xf numFmtId="55" fontId="9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11" fillId="0" borderId="0" xfId="2" applyFont="1" applyAlignment="1">
      <alignment horizontal="left" vertical="center" wrapText="1" indent="1"/>
    </xf>
    <xf numFmtId="0" fontId="2" fillId="0" borderId="0" xfId="2" applyFont="1" applyAlignment="1">
      <alignment horizontal="left" vertical="center" indent="1"/>
    </xf>
    <xf numFmtId="0" fontId="30" fillId="0" borderId="0" xfId="2" applyFont="1" applyAlignment="1">
      <alignment horizontal="right" vertical="center"/>
    </xf>
    <xf numFmtId="0" fontId="2" fillId="0" borderId="0" xfId="2" applyFont="1" applyAlignment="1">
      <alignment vertical="center"/>
    </xf>
    <xf numFmtId="0" fontId="27" fillId="0" borderId="0" xfId="2" applyFont="1" applyAlignment="1">
      <alignment horizontal="left" vertical="center" wrapText="1" indent="1"/>
    </xf>
    <xf numFmtId="0" fontId="27" fillId="0" borderId="0" xfId="2" applyFont="1" applyAlignment="1">
      <alignment horizontal="left" vertical="center" indent="1"/>
    </xf>
    <xf numFmtId="0" fontId="15" fillId="2" borderId="0" xfId="2" applyFont="1" applyFill="1" applyAlignment="1">
      <alignment horizontal="left" vertical="center" indent="1"/>
    </xf>
    <xf numFmtId="0" fontId="6" fillId="0" borderId="0" xfId="2" applyFont="1" applyAlignment="1">
      <alignment horizontal="center" vertical="center"/>
    </xf>
    <xf numFmtId="0" fontId="15" fillId="0" borderId="0" xfId="2" applyFont="1" applyAlignment="1">
      <alignment vertical="center"/>
    </xf>
    <xf numFmtId="0" fontId="29" fillId="0" borderId="22" xfId="2" applyFont="1" applyBorder="1" applyAlignment="1">
      <alignment horizontal="left" vertical="center" wrapText="1" indent="1"/>
    </xf>
    <xf numFmtId="0" fontId="29" fillId="0" borderId="23" xfId="2" applyFont="1" applyBorder="1" applyAlignment="1">
      <alignment horizontal="left" vertical="center" wrapText="1" indent="1"/>
    </xf>
    <xf numFmtId="0" fontId="29" fillId="0" borderId="25" xfId="2" applyFont="1" applyBorder="1" applyAlignment="1">
      <alignment horizontal="left" vertical="center" wrapText="1" indent="1"/>
    </xf>
    <xf numFmtId="0" fontId="29" fillId="0" borderId="0" xfId="2" applyFont="1" applyAlignment="1">
      <alignment horizontal="left" vertical="center" wrapText="1" indent="1"/>
    </xf>
    <xf numFmtId="0" fontId="29" fillId="0" borderId="27" xfId="2" applyFont="1" applyBorder="1" applyAlignment="1">
      <alignment horizontal="left" vertical="center" wrapText="1" indent="1"/>
    </xf>
    <xf numFmtId="0" fontId="29" fillId="0" borderId="28" xfId="2" applyFont="1" applyBorder="1" applyAlignment="1">
      <alignment horizontal="left" vertical="center" wrapText="1" indent="1"/>
    </xf>
    <xf numFmtId="0" fontId="29" fillId="0" borderId="24" xfId="2" applyFont="1" applyBorder="1" applyAlignment="1">
      <alignment horizontal="left" vertical="center" wrapText="1" indent="1"/>
    </xf>
    <xf numFmtId="0" fontId="29" fillId="0" borderId="26" xfId="2" applyFont="1" applyBorder="1" applyAlignment="1">
      <alignment horizontal="left" vertical="center" wrapText="1" indent="1"/>
    </xf>
    <xf numFmtId="0" fontId="29" fillId="0" borderId="29" xfId="2" applyFont="1" applyBorder="1" applyAlignment="1">
      <alignment horizontal="left" vertical="center" wrapText="1" indent="1"/>
    </xf>
    <xf numFmtId="0" fontId="28" fillId="5" borderId="14" xfId="2" applyFont="1" applyFill="1" applyBorder="1" applyAlignment="1">
      <alignment horizontal="center" vertical="center" wrapText="1"/>
    </xf>
    <xf numFmtId="0" fontId="28" fillId="5" borderId="15" xfId="2" applyFont="1" applyFill="1" applyBorder="1" applyAlignment="1">
      <alignment horizontal="center" vertical="center" wrapText="1"/>
    </xf>
    <xf numFmtId="180" fontId="27" fillId="0" borderId="17" xfId="2" applyNumberFormat="1" applyFont="1" applyBorder="1" applyAlignment="1">
      <alignment horizontal="center" vertical="center" wrapText="1"/>
    </xf>
    <xf numFmtId="0" fontId="27" fillId="0" borderId="17" xfId="2" applyFont="1" applyBorder="1" applyAlignment="1">
      <alignment horizontal="center" vertical="center" wrapText="1"/>
    </xf>
    <xf numFmtId="0" fontId="27" fillId="0" borderId="18" xfId="2" applyFont="1" applyBorder="1" applyAlignment="1">
      <alignment horizontal="center" vertical="center" wrapText="1"/>
    </xf>
    <xf numFmtId="0" fontId="27" fillId="0" borderId="20" xfId="2" applyFont="1" applyBorder="1" applyAlignment="1">
      <alignment horizontal="center" vertical="center" wrapText="1"/>
    </xf>
    <xf numFmtId="0" fontId="27" fillId="0" borderId="21" xfId="2" applyFont="1" applyBorder="1" applyAlignment="1">
      <alignment horizontal="center" vertical="center" wrapText="1"/>
    </xf>
    <xf numFmtId="0" fontId="26" fillId="0" borderId="0" xfId="2" applyFont="1" applyAlignment="1">
      <alignment horizontal="center" vertical="center"/>
    </xf>
    <xf numFmtId="0" fontId="11" fillId="0" borderId="0" xfId="2" applyFont="1" applyAlignment="1">
      <alignment horizontal="right" vertical="center"/>
    </xf>
    <xf numFmtId="0" fontId="7" fillId="0" borderId="0" xfId="2" applyFont="1" applyAlignment="1">
      <alignment horizontal="left" vertical="center" wrapText="1" indent="1"/>
    </xf>
  </cellXfs>
  <cellStyles count="4">
    <cellStyle name="Normal" xfId="2" xr:uid="{B9C1CE42-C9C1-417A-B399-97B098E1452B}"/>
    <cellStyle name="쉼표 [0]" xfId="3" builtinId="6"/>
    <cellStyle name="표준" xfId="0" builtinId="0"/>
    <cellStyle name="표준 3" xfId="1" xr:uid="{F02E930D-B1EB-497D-91C1-8122C6548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352424</xdr:colOff>
      <xdr:row>110</xdr:row>
      <xdr:rowOff>57148</xdr:rowOff>
    </xdr:from>
    <xdr:to>
      <xdr:col>10</xdr:col>
      <xdr:colOff>340995</xdr:colOff>
      <xdr:row>112</xdr:row>
      <xdr:rowOff>156025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DB06A3F-BA76-48D4-8C2E-5F5482E2E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4" y="21164548"/>
          <a:ext cx="2731771" cy="517977"/>
        </a:xfrm>
        <a:prstGeom prst="rect">
          <a:avLst/>
        </a:prstGeom>
      </xdr:spPr>
    </xdr:pic>
    <xdr:clientData/>
  </xdr:twoCellAnchor>
  <xdr:twoCellAnchor editAs="oneCell">
    <xdr:from>
      <xdr:col>7</xdr:col>
      <xdr:colOff>76199</xdr:colOff>
      <xdr:row>108</xdr:row>
      <xdr:rowOff>152401</xdr:rowOff>
    </xdr:from>
    <xdr:to>
      <xdr:col>8</xdr:col>
      <xdr:colOff>142874</xdr:colOff>
      <xdr:row>112</xdr:row>
      <xdr:rowOff>66677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B8E7FB-08AB-4B27-8299-79AA5FD6F4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5F4FA"/>
            </a:clrFrom>
            <a:clrTo>
              <a:srgbClr val="F5F4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92" t="70615" r="45376" b="1295"/>
        <a:stretch>
          <a:fillRect/>
        </a:stretch>
      </xdr:blipFill>
      <xdr:spPr>
        <a:xfrm>
          <a:off x="3971924" y="20383501"/>
          <a:ext cx="752475" cy="752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352424</xdr:colOff>
      <xdr:row>110</xdr:row>
      <xdr:rowOff>57148</xdr:rowOff>
    </xdr:from>
    <xdr:to>
      <xdr:col>10</xdr:col>
      <xdr:colOff>335280</xdr:colOff>
      <xdr:row>112</xdr:row>
      <xdr:rowOff>156025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F42948-B9C1-47A6-BB6A-3B9092D92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49" y="21478873"/>
          <a:ext cx="2726056" cy="517977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107</xdr:row>
      <xdr:rowOff>38100</xdr:rowOff>
    </xdr:from>
    <xdr:to>
      <xdr:col>8</xdr:col>
      <xdr:colOff>209549</xdr:colOff>
      <xdr:row>110</xdr:row>
      <xdr:rowOff>180975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277913-EB1D-4AF8-AE7A-519248AEF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5F4FA"/>
            </a:clrFrom>
            <a:clrTo>
              <a:srgbClr val="F5F4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92" t="70615" r="45376" b="1295"/>
        <a:stretch>
          <a:fillRect/>
        </a:stretch>
      </xdr:blipFill>
      <xdr:spPr>
        <a:xfrm>
          <a:off x="3629025" y="22726650"/>
          <a:ext cx="666749" cy="771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105</xdr:row>
      <xdr:rowOff>76200</xdr:rowOff>
    </xdr:from>
    <xdr:to>
      <xdr:col>10</xdr:col>
      <xdr:colOff>219075</xdr:colOff>
      <xdr:row>107</xdr:row>
      <xdr:rowOff>192246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8E5ADBD-166D-4648-A31C-6AD0DE7F2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20212050"/>
          <a:ext cx="2085975" cy="535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25</xdr:row>
      <xdr:rowOff>76200</xdr:rowOff>
    </xdr:from>
    <xdr:to>
      <xdr:col>2</xdr:col>
      <xdr:colOff>561975</xdr:colOff>
      <xdr:row>27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0B54367-CC78-4005-AD2A-3B883D16A3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5F4FA"/>
            </a:clrFrom>
            <a:clrTo>
              <a:srgbClr val="F5F4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92" t="70615" r="45376" b="1295"/>
        <a:stretch>
          <a:fillRect/>
        </a:stretch>
      </xdr:blipFill>
      <xdr:spPr>
        <a:xfrm>
          <a:off x="1514476" y="6829425"/>
          <a:ext cx="952499" cy="590550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30</xdr:row>
      <xdr:rowOff>9525</xdr:rowOff>
    </xdr:from>
    <xdr:to>
      <xdr:col>6</xdr:col>
      <xdr:colOff>245746</xdr:colOff>
      <xdr:row>31</xdr:row>
      <xdr:rowOff>203652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1E2A20-5380-431B-B482-EBB8C2321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725150"/>
          <a:ext cx="2731771" cy="4608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103</xdr:row>
      <xdr:rowOff>0</xdr:rowOff>
    </xdr:from>
    <xdr:to>
      <xdr:col>12</xdr:col>
      <xdr:colOff>335281</xdr:colOff>
      <xdr:row>105</xdr:row>
      <xdr:rowOff>98877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6D08EFB-AE49-416B-AC62-2BA59F7D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21583650"/>
          <a:ext cx="2659381" cy="5179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.%20&#51064;&#49324;\&#9734;%20&#44540;&#47196;&#44228;&#50557;&#49436;_&#50577;&#49885;%20&#48143;%20&#44592;&#52488;\&#9733;2026&#45380;&#50672;&#48393;&#44228;&#50557;&#49436;_&#49457;&#50896;.xlsx" TargetMode="External"/><Relationship Id="rId1" Type="http://schemas.openxmlformats.org/officeDocument/2006/relationships/externalLinkPath" Target="file:///Z:\1.%20&#51064;&#49324;\&#9734;%20&#44540;&#47196;&#44228;&#50557;&#49436;_&#50577;&#49885;%20&#48143;%20&#44592;&#52488;\&#9733;2026&#45380;&#50672;&#48393;&#44228;&#50557;&#49436;_&#49457;&#508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직원명부"/>
      <sheetName val="연봉계약서"/>
      <sheetName val="출력설정"/>
      <sheetName val="VBA코드"/>
    </sheetNames>
    <sheetDataSet>
      <sheetData sheetId="0">
        <row r="2">
          <cell r="B2">
            <v>1</v>
          </cell>
          <cell r="F2" t="str">
            <v/>
          </cell>
          <cell r="G2">
            <v>46082</v>
          </cell>
          <cell r="H2">
            <v>46446</v>
          </cell>
          <cell r="I2">
            <v>40116614.688000001</v>
          </cell>
          <cell r="J2">
            <v>3343060</v>
          </cell>
          <cell r="K2">
            <v>3343060</v>
          </cell>
          <cell r="L2">
            <v>0</v>
          </cell>
          <cell r="M2">
            <v>29</v>
          </cell>
        </row>
        <row r="3">
          <cell r="B3">
            <v>2</v>
          </cell>
          <cell r="F3" t="str">
            <v/>
          </cell>
          <cell r="G3">
            <v>46082</v>
          </cell>
          <cell r="H3">
            <v>46446</v>
          </cell>
          <cell r="I3">
            <v>39716352</v>
          </cell>
          <cell r="J3">
            <v>3309700</v>
          </cell>
          <cell r="K3">
            <v>3309700</v>
          </cell>
          <cell r="L3">
            <v>0</v>
          </cell>
          <cell r="M3">
            <v>29</v>
          </cell>
        </row>
        <row r="4">
          <cell r="B4">
            <v>3</v>
          </cell>
          <cell r="F4" t="str">
            <v/>
          </cell>
          <cell r="G4">
            <v>46082</v>
          </cell>
          <cell r="H4">
            <v>46446</v>
          </cell>
          <cell r="I4">
            <v>46102412.553599998</v>
          </cell>
          <cell r="J4">
            <v>3841870</v>
          </cell>
          <cell r="K4">
            <v>3841870</v>
          </cell>
          <cell r="L4">
            <v>0</v>
          </cell>
          <cell r="M4">
            <v>29</v>
          </cell>
        </row>
        <row r="5">
          <cell r="B5">
            <v>4</v>
          </cell>
          <cell r="F5" t="str">
            <v/>
          </cell>
          <cell r="G5">
            <v>46082</v>
          </cell>
          <cell r="H5">
            <v>46446</v>
          </cell>
          <cell r="I5">
            <v>53885357.427199997</v>
          </cell>
          <cell r="J5">
            <v>4490450</v>
          </cell>
          <cell r="K5">
            <v>4490450</v>
          </cell>
          <cell r="L5">
            <v>0</v>
          </cell>
          <cell r="M5">
            <v>29</v>
          </cell>
        </row>
        <row r="6">
          <cell r="B6">
            <v>5</v>
          </cell>
          <cell r="F6" t="str">
            <v/>
          </cell>
          <cell r="G6">
            <v>46082</v>
          </cell>
          <cell r="H6">
            <v>46446</v>
          </cell>
          <cell r="I6">
            <v>46102412.553599998</v>
          </cell>
          <cell r="J6">
            <v>3841870</v>
          </cell>
          <cell r="K6">
            <v>3841870</v>
          </cell>
          <cell r="L6">
            <v>0</v>
          </cell>
          <cell r="M6">
            <v>29</v>
          </cell>
        </row>
        <row r="7">
          <cell r="B7">
            <v>6</v>
          </cell>
          <cell r="F7" t="str">
            <v/>
          </cell>
          <cell r="G7">
            <v>46082</v>
          </cell>
          <cell r="H7">
            <v>46446</v>
          </cell>
          <cell r="I7">
            <v>38613164.553599998</v>
          </cell>
          <cell r="J7">
            <v>3217770</v>
          </cell>
          <cell r="K7">
            <v>3217770</v>
          </cell>
          <cell r="L7">
            <v>0</v>
          </cell>
          <cell r="M7">
            <v>29</v>
          </cell>
        </row>
        <row r="8">
          <cell r="B8">
            <v>7</v>
          </cell>
          <cell r="F8" t="str">
            <v/>
          </cell>
          <cell r="G8">
            <v>46082</v>
          </cell>
          <cell r="H8">
            <v>46446</v>
          </cell>
          <cell r="I8">
            <v>44140187.935999997</v>
          </cell>
          <cell r="J8">
            <v>3678350</v>
          </cell>
          <cell r="K8">
            <v>3678350</v>
          </cell>
          <cell r="L8">
            <v>0</v>
          </cell>
          <cell r="M8">
            <v>29</v>
          </cell>
        </row>
        <row r="9">
          <cell r="B9">
            <v>8</v>
          </cell>
          <cell r="F9" t="str">
            <v/>
          </cell>
          <cell r="G9">
            <v>46082</v>
          </cell>
          <cell r="H9">
            <v>46446</v>
          </cell>
          <cell r="I9">
            <v>36944647.696800001</v>
          </cell>
          <cell r="J9">
            <v>3078730</v>
          </cell>
          <cell r="K9">
            <v>3078730</v>
          </cell>
          <cell r="L9">
            <v>0</v>
          </cell>
          <cell r="M9">
            <v>29</v>
          </cell>
        </row>
        <row r="10">
          <cell r="B10">
            <v>9</v>
          </cell>
          <cell r="F10" t="str">
            <v/>
          </cell>
          <cell r="G10">
            <v>46082</v>
          </cell>
          <cell r="H10">
            <v>46446</v>
          </cell>
          <cell r="I10">
            <v>42066110.985600002</v>
          </cell>
          <cell r="J10">
            <v>3505510</v>
          </cell>
          <cell r="K10">
            <v>3505510</v>
          </cell>
          <cell r="L10">
            <v>0</v>
          </cell>
          <cell r="M10">
            <v>29</v>
          </cell>
        </row>
        <row r="11">
          <cell r="B11">
            <v>10</v>
          </cell>
          <cell r="F11" t="str">
            <v/>
          </cell>
          <cell r="G11">
            <v>46082</v>
          </cell>
          <cell r="H11">
            <v>46446</v>
          </cell>
          <cell r="I11">
            <v>41452365.864</v>
          </cell>
          <cell r="J11">
            <v>3454370</v>
          </cell>
          <cell r="K11">
            <v>3454370</v>
          </cell>
          <cell r="L11">
            <v>0</v>
          </cell>
          <cell r="M11">
            <v>29</v>
          </cell>
        </row>
        <row r="12">
          <cell r="B12">
            <v>11</v>
          </cell>
          <cell r="F12" t="str">
            <v/>
          </cell>
          <cell r="G12">
            <v>46082</v>
          </cell>
          <cell r="H12">
            <v>46446</v>
          </cell>
          <cell r="I12">
            <v>43680000</v>
          </cell>
          <cell r="J12">
            <v>3640000</v>
          </cell>
          <cell r="K12">
            <v>3640000</v>
          </cell>
          <cell r="L12">
            <v>0</v>
          </cell>
          <cell r="M12">
            <v>29</v>
          </cell>
        </row>
        <row r="13">
          <cell r="B13">
            <v>12</v>
          </cell>
          <cell r="F13" t="str">
            <v/>
          </cell>
          <cell r="G13">
            <v>46082</v>
          </cell>
          <cell r="H13">
            <v>46446</v>
          </cell>
          <cell r="I13">
            <v>37496104.434</v>
          </cell>
          <cell r="J13">
            <v>3124680</v>
          </cell>
          <cell r="K13">
            <v>3124680</v>
          </cell>
          <cell r="L13">
            <v>0</v>
          </cell>
          <cell r="M13">
            <v>29</v>
          </cell>
        </row>
        <row r="14">
          <cell r="B14">
            <v>13</v>
          </cell>
          <cell r="F14" t="str">
            <v/>
          </cell>
          <cell r="G14">
            <v>46082</v>
          </cell>
          <cell r="H14">
            <v>46446</v>
          </cell>
          <cell r="I14">
            <v>35770675.200000003</v>
          </cell>
          <cell r="J14">
            <v>2980890</v>
          </cell>
          <cell r="K14">
            <v>2980890</v>
          </cell>
          <cell r="L14">
            <v>0</v>
          </cell>
          <cell r="M14">
            <v>29</v>
          </cell>
        </row>
        <row r="15">
          <cell r="B15">
            <v>14</v>
          </cell>
          <cell r="F15" t="str">
            <v/>
          </cell>
          <cell r="G15">
            <v>46082</v>
          </cell>
          <cell r="H15">
            <v>46446</v>
          </cell>
          <cell r="I15">
            <v>36958316.553600006</v>
          </cell>
          <cell r="J15">
            <v>3079860</v>
          </cell>
          <cell r="K15">
            <v>3079860</v>
          </cell>
          <cell r="L15">
            <v>0</v>
          </cell>
          <cell r="M15">
            <v>29</v>
          </cell>
        </row>
        <row r="16">
          <cell r="B16">
            <v>15</v>
          </cell>
          <cell r="F16" t="str">
            <v/>
          </cell>
          <cell r="G16">
            <v>46082</v>
          </cell>
          <cell r="H16">
            <v>46446</v>
          </cell>
          <cell r="I16">
            <v>35373600</v>
          </cell>
          <cell r="J16">
            <v>2947800</v>
          </cell>
          <cell r="K16">
            <v>2439961.1881188117</v>
          </cell>
          <cell r="L16">
            <v>507838.81188118813</v>
          </cell>
          <cell r="M16">
            <v>29</v>
          </cell>
        </row>
        <row r="17">
          <cell r="B17">
            <v>16</v>
          </cell>
          <cell r="F17" t="str">
            <v/>
          </cell>
          <cell r="G17">
            <v>46082</v>
          </cell>
          <cell r="H17">
            <v>46446</v>
          </cell>
          <cell r="I17">
            <v>33096960</v>
          </cell>
          <cell r="J17">
            <v>2758080</v>
          </cell>
          <cell r="K17">
            <v>2758080</v>
          </cell>
          <cell r="L17">
            <v>0</v>
          </cell>
          <cell r="M17">
            <v>29</v>
          </cell>
        </row>
        <row r="18">
          <cell r="B18">
            <v>17</v>
          </cell>
          <cell r="F18" t="str">
            <v/>
          </cell>
          <cell r="G18">
            <v>46082</v>
          </cell>
          <cell r="H18">
            <v>46446</v>
          </cell>
          <cell r="I18">
            <v>45593600</v>
          </cell>
          <cell r="J18">
            <v>3799470</v>
          </cell>
          <cell r="K18">
            <v>3799470</v>
          </cell>
          <cell r="L18">
            <v>0</v>
          </cell>
          <cell r="M18">
            <v>29</v>
          </cell>
        </row>
        <row r="19">
          <cell r="B19">
            <v>18</v>
          </cell>
          <cell r="F19" t="str">
            <v/>
          </cell>
          <cell r="G19">
            <v>46082</v>
          </cell>
          <cell r="H19">
            <v>46446</v>
          </cell>
          <cell r="I19">
            <v>40664043.68</v>
          </cell>
          <cell r="J19">
            <v>3388680</v>
          </cell>
          <cell r="K19">
            <v>3388680</v>
          </cell>
          <cell r="L19">
            <v>0</v>
          </cell>
          <cell r="M19">
            <v>29</v>
          </cell>
        </row>
        <row r="20">
          <cell r="B20">
            <v>19</v>
          </cell>
          <cell r="F20" t="str">
            <v/>
          </cell>
          <cell r="G20">
            <v>46082</v>
          </cell>
          <cell r="H20">
            <v>46446</v>
          </cell>
          <cell r="I20">
            <v>41907355.696800001</v>
          </cell>
          <cell r="J20">
            <v>3492280</v>
          </cell>
          <cell r="K20">
            <v>3492280</v>
          </cell>
          <cell r="L20">
            <v>0</v>
          </cell>
          <cell r="M20">
            <v>29</v>
          </cell>
        </row>
        <row r="21">
          <cell r="B21">
            <v>20</v>
          </cell>
          <cell r="F21" t="str">
            <v/>
          </cell>
          <cell r="G21">
            <v>46082</v>
          </cell>
          <cell r="H21">
            <v>46446</v>
          </cell>
          <cell r="I21">
            <v>32609036.553599998</v>
          </cell>
          <cell r="J21">
            <v>2717420</v>
          </cell>
          <cell r="K21">
            <v>2717420</v>
          </cell>
          <cell r="L21">
            <v>0</v>
          </cell>
          <cell r="M21">
            <v>29</v>
          </cell>
        </row>
        <row r="22">
          <cell r="B22">
            <v>21</v>
          </cell>
          <cell r="F22" t="str">
            <v/>
          </cell>
          <cell r="G22">
            <v>46082</v>
          </cell>
          <cell r="H22">
            <v>46446</v>
          </cell>
          <cell r="I22">
            <v>35700000</v>
          </cell>
          <cell r="J22">
            <v>2975000</v>
          </cell>
          <cell r="K22">
            <v>2975000</v>
          </cell>
          <cell r="L22">
            <v>0</v>
          </cell>
          <cell r="M22">
            <v>29</v>
          </cell>
        </row>
        <row r="23">
          <cell r="B23">
            <v>22</v>
          </cell>
          <cell r="F23" t="str">
            <v/>
          </cell>
          <cell r="G23">
            <v>46082</v>
          </cell>
          <cell r="H23">
            <v>46446</v>
          </cell>
          <cell r="I23">
            <v>29123611.199999999</v>
          </cell>
          <cell r="J23">
            <v>2426970</v>
          </cell>
          <cell r="K23">
            <v>2426970</v>
          </cell>
          <cell r="L23">
            <v>0</v>
          </cell>
          <cell r="M23">
            <v>29</v>
          </cell>
        </row>
        <row r="24">
          <cell r="B24">
            <v>23</v>
          </cell>
          <cell r="F24" t="str">
            <v/>
          </cell>
          <cell r="G24">
            <v>46082</v>
          </cell>
          <cell r="H24">
            <v>46446</v>
          </cell>
          <cell r="I24">
            <v>36899289.439999998</v>
          </cell>
          <cell r="J24">
            <v>3074950</v>
          </cell>
          <cell r="K24">
            <v>3074950</v>
          </cell>
          <cell r="L24">
            <v>0</v>
          </cell>
          <cell r="M24">
            <v>29</v>
          </cell>
        </row>
        <row r="25">
          <cell r="B25">
            <v>24</v>
          </cell>
          <cell r="F25" t="str">
            <v/>
          </cell>
          <cell r="G25">
            <v>46082</v>
          </cell>
          <cell r="H25">
            <v>46446</v>
          </cell>
          <cell r="I25">
            <v>29214432</v>
          </cell>
          <cell r="J25">
            <v>2434540</v>
          </cell>
          <cell r="K25">
            <v>2434540</v>
          </cell>
          <cell r="L25">
            <v>0</v>
          </cell>
          <cell r="M25">
            <v>29</v>
          </cell>
        </row>
        <row r="26">
          <cell r="B26">
            <v>25</v>
          </cell>
          <cell r="F26" t="str">
            <v/>
          </cell>
          <cell r="G26">
            <v>46082</v>
          </cell>
          <cell r="H26">
            <v>46446</v>
          </cell>
          <cell r="I26">
            <v>32460480</v>
          </cell>
          <cell r="J26">
            <v>2705040</v>
          </cell>
          <cell r="K26">
            <v>2705040</v>
          </cell>
          <cell r="L26">
            <v>0</v>
          </cell>
          <cell r="M26">
            <v>29</v>
          </cell>
        </row>
        <row r="27">
          <cell r="B27">
            <v>26</v>
          </cell>
          <cell r="F27" t="str">
            <v/>
          </cell>
          <cell r="G27">
            <v>46082</v>
          </cell>
          <cell r="H27">
            <v>46446</v>
          </cell>
          <cell r="I27">
            <v>38231322.168000005</v>
          </cell>
          <cell r="J27">
            <v>3185950</v>
          </cell>
          <cell r="K27">
            <v>3185950</v>
          </cell>
          <cell r="L27">
            <v>0</v>
          </cell>
          <cell r="M27">
            <v>29</v>
          </cell>
        </row>
        <row r="28">
          <cell r="B28">
            <v>27</v>
          </cell>
          <cell r="F28" t="str">
            <v/>
          </cell>
          <cell r="G28">
            <v>46082</v>
          </cell>
          <cell r="H28">
            <v>46446</v>
          </cell>
          <cell r="I28">
            <v>33542582.3532</v>
          </cell>
          <cell r="J28">
            <v>2795220</v>
          </cell>
          <cell r="K28">
            <v>2795220</v>
          </cell>
          <cell r="L28">
            <v>0</v>
          </cell>
          <cell r="M28">
            <v>29</v>
          </cell>
        </row>
        <row r="29">
          <cell r="B29">
            <v>28</v>
          </cell>
          <cell r="F29" t="str">
            <v/>
          </cell>
          <cell r="G29">
            <v>46082</v>
          </cell>
          <cell r="H29">
            <v>46446</v>
          </cell>
          <cell r="I29">
            <v>33244887.719999999</v>
          </cell>
          <cell r="J29">
            <v>2770410</v>
          </cell>
          <cell r="K29">
            <v>2770410</v>
          </cell>
          <cell r="L29">
            <v>0</v>
          </cell>
          <cell r="M29">
            <v>29</v>
          </cell>
        </row>
        <row r="30">
          <cell r="B30">
            <v>29</v>
          </cell>
          <cell r="F30" t="str">
            <v/>
          </cell>
          <cell r="G30">
            <v>46082</v>
          </cell>
          <cell r="H30">
            <v>46446</v>
          </cell>
          <cell r="I30">
            <v>27580842.640000001</v>
          </cell>
          <cell r="J30">
            <v>2298410</v>
          </cell>
          <cell r="K30">
            <v>2298410</v>
          </cell>
          <cell r="L30">
            <v>0</v>
          </cell>
          <cell r="M30">
            <v>29</v>
          </cell>
        </row>
        <row r="31">
          <cell r="B31">
            <v>31</v>
          </cell>
          <cell r="F31" t="str">
            <v/>
          </cell>
          <cell r="G31">
            <v>46082</v>
          </cell>
          <cell r="H31">
            <v>46446</v>
          </cell>
          <cell r="I31">
            <v>26520000</v>
          </cell>
          <cell r="J31">
            <v>2210000</v>
          </cell>
          <cell r="K31">
            <v>2210000</v>
          </cell>
          <cell r="L31">
            <v>0</v>
          </cell>
          <cell r="M31">
            <v>29</v>
          </cell>
        </row>
        <row r="32">
          <cell r="B32">
            <v>32</v>
          </cell>
          <cell r="F32" t="str">
            <v/>
          </cell>
          <cell r="G32">
            <v>46082</v>
          </cell>
          <cell r="H32">
            <v>46446</v>
          </cell>
          <cell r="I32">
            <v>30000000</v>
          </cell>
          <cell r="J32">
            <v>2500000</v>
          </cell>
          <cell r="K32">
            <v>2500000</v>
          </cell>
          <cell r="L32">
            <v>0</v>
          </cell>
          <cell r="M32">
            <v>29</v>
          </cell>
        </row>
        <row r="33">
          <cell r="B33">
            <v>33</v>
          </cell>
          <cell r="F33" t="str">
            <v/>
          </cell>
          <cell r="G33">
            <v>46082</v>
          </cell>
          <cell r="H33">
            <v>46446</v>
          </cell>
          <cell r="I33">
            <v>67000000</v>
          </cell>
          <cell r="J33">
            <v>5583333.333333333</v>
          </cell>
          <cell r="K33">
            <v>4621452.1452145213</v>
          </cell>
          <cell r="L33">
            <v>961881.18811881181</v>
          </cell>
          <cell r="M33">
            <v>29</v>
          </cell>
        </row>
        <row r="34">
          <cell r="B34">
            <v>34</v>
          </cell>
          <cell r="F34" t="str">
            <v/>
          </cell>
          <cell r="G34">
            <v>46082</v>
          </cell>
          <cell r="H34">
            <v>46446</v>
          </cell>
          <cell r="I34">
            <v>36000000</v>
          </cell>
          <cell r="J34">
            <v>3000000</v>
          </cell>
          <cell r="K34">
            <v>2483168.3168316833</v>
          </cell>
          <cell r="L34">
            <v>516831.68316831678</v>
          </cell>
          <cell r="M34">
            <v>29</v>
          </cell>
        </row>
        <row r="35">
          <cell r="B35">
            <v>35</v>
          </cell>
          <cell r="F35" t="str">
            <v/>
          </cell>
          <cell r="G35">
            <v>46082</v>
          </cell>
          <cell r="H35">
            <v>46446</v>
          </cell>
          <cell r="I35">
            <v>35000000</v>
          </cell>
          <cell r="J35">
            <v>2916666.6666666665</v>
          </cell>
          <cell r="K35">
            <v>2414191.4191419142</v>
          </cell>
          <cell r="L35">
            <v>502475.24752475246</v>
          </cell>
          <cell r="M35">
            <v>29</v>
          </cell>
        </row>
        <row r="36">
          <cell r="B36">
            <v>36</v>
          </cell>
          <cell r="F36" t="str">
            <v/>
          </cell>
          <cell r="G36">
            <v>46082</v>
          </cell>
          <cell r="H36">
            <v>46446</v>
          </cell>
          <cell r="I36">
            <v>42000000</v>
          </cell>
          <cell r="J36">
            <v>3500000</v>
          </cell>
          <cell r="K36">
            <v>2897029.7029702971</v>
          </cell>
          <cell r="L36">
            <v>602970.29702970292</v>
          </cell>
          <cell r="M36">
            <v>29</v>
          </cell>
        </row>
        <row r="37">
          <cell r="B37">
            <v>37</v>
          </cell>
          <cell r="F37" t="str">
            <v/>
          </cell>
          <cell r="G37">
            <v>46082</v>
          </cell>
          <cell r="H37">
            <v>46446</v>
          </cell>
          <cell r="I37">
            <v>25882560</v>
          </cell>
          <cell r="J37">
            <v>2156880</v>
          </cell>
          <cell r="K37">
            <v>2156880</v>
          </cell>
          <cell r="L37">
            <v>0</v>
          </cell>
          <cell r="M37">
            <v>29</v>
          </cell>
        </row>
        <row r="38">
          <cell r="B38">
            <v>38</v>
          </cell>
          <cell r="F38" t="str">
            <v/>
          </cell>
          <cell r="G38">
            <v>46082</v>
          </cell>
          <cell r="H38">
            <v>46446</v>
          </cell>
          <cell r="I38">
            <v>25882560</v>
          </cell>
          <cell r="J38">
            <v>2156880</v>
          </cell>
          <cell r="K38">
            <v>2156880</v>
          </cell>
          <cell r="L38">
            <v>0</v>
          </cell>
          <cell r="M38">
            <v>29</v>
          </cell>
        </row>
        <row r="39">
          <cell r="B39">
            <v>40</v>
          </cell>
          <cell r="F39" t="str">
            <v/>
          </cell>
          <cell r="G39">
            <v>46082</v>
          </cell>
          <cell r="H39">
            <v>46446</v>
          </cell>
          <cell r="I39">
            <v>43000000</v>
          </cell>
          <cell r="J39">
            <v>3583333.3333333335</v>
          </cell>
          <cell r="K39">
            <v>2966006.6006600661</v>
          </cell>
          <cell r="L39">
            <v>617326.73267326737</v>
          </cell>
          <cell r="M39">
            <v>29</v>
          </cell>
        </row>
        <row r="40">
          <cell r="B40">
            <v>41</v>
          </cell>
          <cell r="F40" t="str">
            <v/>
          </cell>
          <cell r="G40">
            <v>46082</v>
          </cell>
          <cell r="H40">
            <v>46446</v>
          </cell>
          <cell r="I40">
            <v>25882560</v>
          </cell>
          <cell r="J40">
            <v>2156880</v>
          </cell>
          <cell r="K40">
            <v>2156880</v>
          </cell>
          <cell r="L40">
            <v>0</v>
          </cell>
          <cell r="M40">
            <v>29</v>
          </cell>
        </row>
        <row r="41">
          <cell r="B41">
            <v>42</v>
          </cell>
          <cell r="F41" t="str">
            <v/>
          </cell>
          <cell r="G41">
            <v>46082</v>
          </cell>
          <cell r="H41">
            <v>46446</v>
          </cell>
          <cell r="I41">
            <v>37200000</v>
          </cell>
          <cell r="J41">
            <v>3100000</v>
          </cell>
          <cell r="K41">
            <v>2565940.5940594058</v>
          </cell>
          <cell r="L41">
            <v>534059.40594059404</v>
          </cell>
          <cell r="M41">
            <v>29</v>
          </cell>
        </row>
        <row r="42">
          <cell r="B42">
            <v>43</v>
          </cell>
          <cell r="F42" t="str">
            <v/>
          </cell>
          <cell r="G42">
            <v>46082</v>
          </cell>
          <cell r="H42">
            <v>46446</v>
          </cell>
          <cell r="I42">
            <v>67200220</v>
          </cell>
          <cell r="J42">
            <v>5600018.333333333</v>
          </cell>
          <cell r="K42">
            <v>4635262.6996699665</v>
          </cell>
          <cell r="L42">
            <v>964755.63366336632</v>
          </cell>
          <cell r="M42">
            <v>29</v>
          </cell>
        </row>
        <row r="43">
          <cell r="B43">
            <v>44</v>
          </cell>
          <cell r="F43" t="str">
            <v/>
          </cell>
          <cell r="G43">
            <v>46082</v>
          </cell>
          <cell r="H43">
            <v>46446</v>
          </cell>
          <cell r="I43">
            <v>69867178.5</v>
          </cell>
          <cell r="J43">
            <v>5822264.875</v>
          </cell>
          <cell r="K43">
            <v>4819221.2232673271</v>
          </cell>
          <cell r="L43">
            <v>1003043.6517326733</v>
          </cell>
          <cell r="M43">
            <v>29</v>
          </cell>
        </row>
        <row r="44">
          <cell r="B44">
            <v>45</v>
          </cell>
          <cell r="F44" t="str">
            <v/>
          </cell>
          <cell r="G44">
            <v>46082</v>
          </cell>
          <cell r="H44">
            <v>46446</v>
          </cell>
          <cell r="I44">
            <v>42000000</v>
          </cell>
          <cell r="J44">
            <v>3500000</v>
          </cell>
          <cell r="K44">
            <v>2897029.7029702971</v>
          </cell>
          <cell r="L44">
            <v>602970.29702970292</v>
          </cell>
          <cell r="M44">
            <v>29</v>
          </cell>
        </row>
        <row r="45">
          <cell r="B45">
            <v>46</v>
          </cell>
          <cell r="F45" t="str">
            <v/>
          </cell>
          <cell r="G45">
            <v>46082</v>
          </cell>
          <cell r="H45">
            <v>46446</v>
          </cell>
          <cell r="I45">
            <v>66000000</v>
          </cell>
          <cell r="J45">
            <v>5500000</v>
          </cell>
          <cell r="K45">
            <v>4552475.2475247523</v>
          </cell>
          <cell r="L45">
            <v>947524.7524752476</v>
          </cell>
          <cell r="M45">
            <v>29</v>
          </cell>
        </row>
        <row r="46">
          <cell r="B46">
            <v>47</v>
          </cell>
          <cell r="F46" t="str">
            <v/>
          </cell>
          <cell r="G46">
            <v>46082</v>
          </cell>
          <cell r="H46">
            <v>46446</v>
          </cell>
          <cell r="I46">
            <v>45859931.935999997</v>
          </cell>
          <cell r="J46">
            <v>3821660.9946666667</v>
          </cell>
          <cell r="K46">
            <v>3163275.8332092408</v>
          </cell>
          <cell r="L46">
            <v>658385.16145742568</v>
          </cell>
          <cell r="M46">
            <v>29</v>
          </cell>
        </row>
        <row r="47">
          <cell r="B47">
            <v>48</v>
          </cell>
          <cell r="F47" t="str">
            <v/>
          </cell>
          <cell r="G47">
            <v>46082</v>
          </cell>
          <cell r="H47">
            <v>46446</v>
          </cell>
          <cell r="I47">
            <v>53246012.82</v>
          </cell>
          <cell r="J47">
            <v>4437167.7350000003</v>
          </cell>
          <cell r="K47">
            <v>3672744.7786732675</v>
          </cell>
          <cell r="L47">
            <v>764422.95632673276</v>
          </cell>
          <cell r="M47">
            <v>29</v>
          </cell>
        </row>
        <row r="48">
          <cell r="B48">
            <v>49</v>
          </cell>
          <cell r="F48" t="str">
            <v/>
          </cell>
          <cell r="G48">
            <v>46082</v>
          </cell>
          <cell r="H48">
            <v>46446</v>
          </cell>
          <cell r="I48">
            <v>51072178.5</v>
          </cell>
          <cell r="J48">
            <v>4256014.875</v>
          </cell>
          <cell r="K48">
            <v>3522800.4311881186</v>
          </cell>
          <cell r="L48">
            <v>733214.44381188124</v>
          </cell>
          <cell r="M48">
            <v>29</v>
          </cell>
        </row>
        <row r="49">
          <cell r="B49">
            <v>50</v>
          </cell>
          <cell r="F49" t="str">
            <v/>
          </cell>
          <cell r="G49">
            <v>46082</v>
          </cell>
          <cell r="H49">
            <v>46446</v>
          </cell>
          <cell r="I49">
            <v>48000000</v>
          </cell>
          <cell r="J49">
            <v>4000000</v>
          </cell>
          <cell r="K49">
            <v>3310891.0891089109</v>
          </cell>
          <cell r="L49">
            <v>689108.91089108912</v>
          </cell>
          <cell r="M49">
            <v>29</v>
          </cell>
        </row>
        <row r="50">
          <cell r="B50">
            <v>51</v>
          </cell>
          <cell r="F50" t="str">
            <v/>
          </cell>
          <cell r="G50">
            <v>46082</v>
          </cell>
          <cell r="H50">
            <v>46446</v>
          </cell>
          <cell r="I50">
            <v>69720042</v>
          </cell>
          <cell r="J50">
            <v>5810003.5</v>
          </cell>
          <cell r="K50">
            <v>4809072.2039603963</v>
          </cell>
          <cell r="L50">
            <v>1000931.2960396039</v>
          </cell>
          <cell r="M50">
            <v>29</v>
          </cell>
        </row>
        <row r="51">
          <cell r="B51">
            <v>52</v>
          </cell>
          <cell r="F51" t="str">
            <v/>
          </cell>
          <cell r="G51">
            <v>46082</v>
          </cell>
          <cell r="H51">
            <v>46446</v>
          </cell>
          <cell r="I51">
            <v>53733981.0176</v>
          </cell>
          <cell r="J51">
            <v>4477831.7514666663</v>
          </cell>
          <cell r="K51">
            <v>3706403.3111149832</v>
          </cell>
          <cell r="L51">
            <v>771428.44035168318</v>
          </cell>
          <cell r="M51">
            <v>29</v>
          </cell>
        </row>
        <row r="52">
          <cell r="B52">
            <v>53</v>
          </cell>
          <cell r="F52" t="str">
            <v/>
          </cell>
          <cell r="G52">
            <v>46082</v>
          </cell>
          <cell r="H52">
            <v>46446</v>
          </cell>
          <cell r="I52">
            <v>59160216</v>
          </cell>
          <cell r="J52">
            <v>4930018</v>
          </cell>
          <cell r="K52">
            <v>4080688.1663366337</v>
          </cell>
          <cell r="L52">
            <v>849329.83366336627</v>
          </cell>
          <cell r="M52">
            <v>29</v>
          </cell>
        </row>
        <row r="53">
          <cell r="B53">
            <v>54</v>
          </cell>
          <cell r="F53" t="str">
            <v/>
          </cell>
          <cell r="G53">
            <v>46082</v>
          </cell>
          <cell r="H53">
            <v>46446</v>
          </cell>
          <cell r="I53">
            <v>44880040.799999997</v>
          </cell>
          <cell r="J53">
            <v>3740003.3999999994</v>
          </cell>
          <cell r="K53">
            <v>3095685.9825742571</v>
          </cell>
          <cell r="L53">
            <v>644317.41742574261</v>
          </cell>
          <cell r="M53">
            <v>29</v>
          </cell>
        </row>
        <row r="54">
          <cell r="B54">
            <v>55</v>
          </cell>
          <cell r="F54" t="str">
            <v/>
          </cell>
          <cell r="G54">
            <v>46082</v>
          </cell>
          <cell r="H54">
            <v>46446</v>
          </cell>
          <cell r="I54">
            <v>45958803.644999996</v>
          </cell>
          <cell r="J54">
            <v>3829900.3037499995</v>
          </cell>
          <cell r="K54">
            <v>3170095.6969653461</v>
          </cell>
          <cell r="L54">
            <v>659804.60678465338</v>
          </cell>
          <cell r="M54">
            <v>29</v>
          </cell>
        </row>
        <row r="55">
          <cell r="B55">
            <v>56</v>
          </cell>
          <cell r="F55" t="str">
            <v/>
          </cell>
          <cell r="G55">
            <v>46082</v>
          </cell>
          <cell r="H55">
            <v>46446</v>
          </cell>
          <cell r="I55">
            <v>51804129.539999999</v>
          </cell>
          <cell r="J55">
            <v>4317010.7949999999</v>
          </cell>
          <cell r="K55">
            <v>3573288.1431881189</v>
          </cell>
          <cell r="L55">
            <v>743722.65181188122</v>
          </cell>
          <cell r="M55">
            <v>29</v>
          </cell>
        </row>
        <row r="56">
          <cell r="B56">
            <v>57</v>
          </cell>
          <cell r="F56" t="str">
            <v/>
          </cell>
          <cell r="G56">
            <v>46082</v>
          </cell>
          <cell r="H56">
            <v>46446</v>
          </cell>
          <cell r="I56">
            <v>53016131.299999997</v>
          </cell>
          <cell r="J56">
            <v>4418010.9416666664</v>
          </cell>
          <cell r="K56">
            <v>3656888.2645874582</v>
          </cell>
          <cell r="L56">
            <v>761122.67707920796</v>
          </cell>
          <cell r="M56">
            <v>29</v>
          </cell>
        </row>
        <row r="57">
          <cell r="B57">
            <v>58</v>
          </cell>
          <cell r="F57" t="str">
            <v/>
          </cell>
          <cell r="G57">
            <v>46082</v>
          </cell>
          <cell r="H57">
            <v>46446</v>
          </cell>
          <cell r="I57">
            <v>54274485.850000001</v>
          </cell>
          <cell r="J57">
            <v>4522873.8208333338</v>
          </cell>
          <cell r="K57">
            <v>3743685.6576402644</v>
          </cell>
          <cell r="L57">
            <v>779188.16319306928</v>
          </cell>
          <cell r="M57">
            <v>29</v>
          </cell>
        </row>
        <row r="58">
          <cell r="B58">
            <v>59</v>
          </cell>
          <cell r="F58" t="str">
            <v/>
          </cell>
          <cell r="G58">
            <v>46082</v>
          </cell>
          <cell r="H58">
            <v>46446</v>
          </cell>
          <cell r="I58">
            <v>78816186.840000004</v>
          </cell>
          <cell r="J58">
            <v>6568015.5700000003</v>
          </cell>
          <cell r="K58">
            <v>5436496.0559603963</v>
          </cell>
          <cell r="L58">
            <v>1131519.514039604</v>
          </cell>
          <cell r="M58">
            <v>29</v>
          </cell>
        </row>
        <row r="59">
          <cell r="B59">
            <v>60</v>
          </cell>
          <cell r="F59" t="str">
            <v/>
          </cell>
          <cell r="G59">
            <v>46082</v>
          </cell>
          <cell r="H59">
            <v>46446</v>
          </cell>
          <cell r="I59">
            <v>77507291.159999996</v>
          </cell>
          <cell r="J59">
            <v>6458940.9299999997</v>
          </cell>
          <cell r="K59">
            <v>5346212.4925544551</v>
          </cell>
          <cell r="L59">
            <v>1112728.4374455444</v>
          </cell>
          <cell r="M59">
            <v>29</v>
          </cell>
        </row>
        <row r="60">
          <cell r="B60">
            <v>61</v>
          </cell>
          <cell r="F60" t="str">
            <v/>
          </cell>
          <cell r="G60">
            <v>46082</v>
          </cell>
          <cell r="H60">
            <v>46446</v>
          </cell>
          <cell r="I60">
            <v>53033104.217599995</v>
          </cell>
          <cell r="J60">
            <v>4419425.351466666</v>
          </cell>
          <cell r="K60">
            <v>3658059.0037882505</v>
          </cell>
          <cell r="L60">
            <v>761366.34767841571</v>
          </cell>
          <cell r="M60">
            <v>29</v>
          </cell>
        </row>
        <row r="61">
          <cell r="B61">
            <v>62</v>
          </cell>
          <cell r="F61" t="str">
            <v/>
          </cell>
          <cell r="G61">
            <v>46082</v>
          </cell>
          <cell r="H61">
            <v>46446</v>
          </cell>
          <cell r="I61">
            <v>77720166</v>
          </cell>
          <cell r="J61">
            <v>6476680.5</v>
          </cell>
          <cell r="K61">
            <v>5360895.9386138618</v>
          </cell>
          <cell r="L61">
            <v>1115784.5613861387</v>
          </cell>
          <cell r="M61">
            <v>29</v>
          </cell>
        </row>
        <row r="62">
          <cell r="B62">
            <v>63</v>
          </cell>
          <cell r="F62" t="str">
            <v/>
          </cell>
          <cell r="G62">
            <v>46082</v>
          </cell>
          <cell r="H62">
            <v>46446</v>
          </cell>
          <cell r="I62">
            <v>102515609.44</v>
          </cell>
          <cell r="J62">
            <v>8542967.4533333331</v>
          </cell>
          <cell r="K62">
            <v>7071208.7039471939</v>
          </cell>
          <cell r="L62">
            <v>1471758.7493861387</v>
          </cell>
          <cell r="M62">
            <v>29</v>
          </cell>
        </row>
        <row r="63">
          <cell r="B63">
            <v>64</v>
          </cell>
          <cell r="F63" t="str">
            <v/>
          </cell>
          <cell r="G63">
            <v>46082</v>
          </cell>
          <cell r="H63">
            <v>46446</v>
          </cell>
          <cell r="I63">
            <v>60920000</v>
          </cell>
          <cell r="J63">
            <v>5076666.666666667</v>
          </cell>
          <cell r="K63">
            <v>5076666.666666667</v>
          </cell>
          <cell r="L63">
            <v>0</v>
          </cell>
        </row>
        <row r="64">
          <cell r="B64">
            <v>65</v>
          </cell>
          <cell r="F64" t="str">
            <v/>
          </cell>
          <cell r="G64">
            <v>46082</v>
          </cell>
          <cell r="H64">
            <v>46446</v>
          </cell>
          <cell r="I64">
            <v>54876932.600000001</v>
          </cell>
          <cell r="J64">
            <v>4573077.7166666668</v>
          </cell>
          <cell r="K64">
            <v>3785240.5654785479</v>
          </cell>
          <cell r="L64">
            <v>787837.15118811885</v>
          </cell>
          <cell r="M64">
            <v>29</v>
          </cell>
        </row>
        <row r="65">
          <cell r="B65">
            <v>66</v>
          </cell>
          <cell r="F65" t="str">
            <v/>
          </cell>
          <cell r="G65">
            <v>46082</v>
          </cell>
          <cell r="H65">
            <v>46446</v>
          </cell>
          <cell r="I65">
            <v>76008179.920000002</v>
          </cell>
          <cell r="J65">
            <v>6334014.9933333332</v>
          </cell>
          <cell r="K65">
            <v>5242808.4499273924</v>
          </cell>
          <cell r="L65">
            <v>1091206.5434059405</v>
          </cell>
          <cell r="M65">
            <v>29</v>
          </cell>
        </row>
        <row r="66">
          <cell r="B66">
            <v>67</v>
          </cell>
          <cell r="F66" t="str">
            <v/>
          </cell>
          <cell r="G66">
            <v>46082</v>
          </cell>
          <cell r="H66">
            <v>46446</v>
          </cell>
          <cell r="I66">
            <v>58815382.163199998</v>
          </cell>
          <cell r="J66">
            <v>4901281.8469333332</v>
          </cell>
          <cell r="K66">
            <v>4056902.5980557092</v>
          </cell>
          <cell r="L66">
            <v>844379.24887762382</v>
          </cell>
          <cell r="M66">
            <v>29</v>
          </cell>
        </row>
        <row r="67">
          <cell r="B67">
            <v>68</v>
          </cell>
          <cell r="F67" t="str">
            <v/>
          </cell>
          <cell r="G67">
            <v>46082</v>
          </cell>
          <cell r="H67">
            <v>46446</v>
          </cell>
          <cell r="I67">
            <v>41040130</v>
          </cell>
          <cell r="J67">
            <v>3420010.833333333</v>
          </cell>
          <cell r="K67">
            <v>2830820.8481848184</v>
          </cell>
          <cell r="L67">
            <v>589189.98514851485</v>
          </cell>
          <cell r="M67">
            <v>29</v>
          </cell>
        </row>
        <row r="68">
          <cell r="B68">
            <v>69</v>
          </cell>
          <cell r="F68" t="str">
            <v/>
          </cell>
          <cell r="G68">
            <v>46082</v>
          </cell>
          <cell r="H68">
            <v>46446</v>
          </cell>
          <cell r="I68">
            <v>84364800</v>
          </cell>
          <cell r="J68">
            <v>7030400</v>
          </cell>
          <cell r="K68">
            <v>5819222.1782178218</v>
          </cell>
          <cell r="L68">
            <v>1211177.8217821782</v>
          </cell>
          <cell r="M68">
            <v>29</v>
          </cell>
        </row>
        <row r="69">
          <cell r="B69">
            <v>70</v>
          </cell>
          <cell r="F69" t="str">
            <v/>
          </cell>
          <cell r="G69">
            <v>46082</v>
          </cell>
          <cell r="H69">
            <v>46446</v>
          </cell>
          <cell r="I69">
            <v>40560000</v>
          </cell>
          <cell r="J69">
            <v>3380000</v>
          </cell>
          <cell r="K69">
            <v>2797702.9702970297</v>
          </cell>
          <cell r="L69">
            <v>582297.02970297029</v>
          </cell>
          <cell r="M69">
            <v>29</v>
          </cell>
        </row>
        <row r="70">
          <cell r="B70">
            <v>71</v>
          </cell>
          <cell r="F70" t="str">
            <v/>
          </cell>
          <cell r="G70">
            <v>46082</v>
          </cell>
          <cell r="H70">
            <v>46446</v>
          </cell>
          <cell r="I70">
            <v>62732800</v>
          </cell>
          <cell r="J70">
            <v>5227733.333333333</v>
          </cell>
          <cell r="K70">
            <v>4327113.9273927389</v>
          </cell>
          <cell r="L70">
            <v>900619.40594059392</v>
          </cell>
          <cell r="M70">
            <v>29</v>
          </cell>
        </row>
        <row r="71">
          <cell r="B71">
            <v>72</v>
          </cell>
          <cell r="F71" t="str">
            <v/>
          </cell>
          <cell r="G71">
            <v>46082</v>
          </cell>
          <cell r="H71">
            <v>46446</v>
          </cell>
          <cell r="I71">
            <v>50208132.079999998</v>
          </cell>
          <cell r="J71">
            <v>4184011.0066666664</v>
          </cell>
          <cell r="K71">
            <v>3463201.1896765674</v>
          </cell>
          <cell r="L71">
            <v>720809.81699009892</v>
          </cell>
          <cell r="M71">
            <v>29</v>
          </cell>
        </row>
        <row r="72">
          <cell r="B72">
            <v>73</v>
          </cell>
          <cell r="F72" t="str">
            <v/>
          </cell>
          <cell r="G72">
            <v>46082</v>
          </cell>
          <cell r="H72">
            <v>46446</v>
          </cell>
          <cell r="I72">
            <v>44860216</v>
          </cell>
          <cell r="J72">
            <v>3738351.3333333335</v>
          </cell>
          <cell r="K72">
            <v>3094318.5293729375</v>
          </cell>
          <cell r="L72">
            <v>644032.80396039609</v>
          </cell>
          <cell r="M72">
            <v>29</v>
          </cell>
        </row>
        <row r="73">
          <cell r="B73">
            <v>74</v>
          </cell>
          <cell r="F73" t="str">
            <v/>
          </cell>
          <cell r="G73">
            <v>46082</v>
          </cell>
          <cell r="H73">
            <v>46446</v>
          </cell>
          <cell r="I73">
            <v>31769280</v>
          </cell>
          <cell r="J73">
            <v>2647440</v>
          </cell>
          <cell r="K73">
            <v>2191346.3762376239</v>
          </cell>
          <cell r="L73">
            <v>456093.6237623762</v>
          </cell>
          <cell r="M73">
            <v>29</v>
          </cell>
        </row>
        <row r="74">
          <cell r="B74">
            <v>75</v>
          </cell>
          <cell r="F74" t="str">
            <v/>
          </cell>
          <cell r="G74">
            <v>46082</v>
          </cell>
          <cell r="H74">
            <v>46446</v>
          </cell>
          <cell r="I74">
            <v>43600000</v>
          </cell>
          <cell r="J74">
            <v>3633333.3333333335</v>
          </cell>
          <cell r="K74">
            <v>3007392.7392739276</v>
          </cell>
          <cell r="L74">
            <v>625940.59405940596</v>
          </cell>
          <cell r="M74">
            <v>29</v>
          </cell>
        </row>
        <row r="75">
          <cell r="B75">
            <v>76</v>
          </cell>
          <cell r="F75" t="str">
            <v/>
          </cell>
          <cell r="G75">
            <v>46082</v>
          </cell>
          <cell r="H75">
            <v>46446</v>
          </cell>
          <cell r="I75">
            <v>58842131.25</v>
          </cell>
          <cell r="J75">
            <v>4903510.9375</v>
          </cell>
          <cell r="K75">
            <v>4058747.667079208</v>
          </cell>
          <cell r="L75">
            <v>844763.27042079216</v>
          </cell>
          <cell r="M75">
            <v>29</v>
          </cell>
        </row>
        <row r="76">
          <cell r="B76">
            <v>77</v>
          </cell>
          <cell r="F76" t="str">
            <v/>
          </cell>
          <cell r="G76">
            <v>46082</v>
          </cell>
          <cell r="H76">
            <v>46446</v>
          </cell>
          <cell r="I76">
            <v>44681779.920000002</v>
          </cell>
          <cell r="J76">
            <v>3723481.66</v>
          </cell>
          <cell r="K76">
            <v>3082010.5621386142</v>
          </cell>
          <cell r="L76">
            <v>641471.09786138614</v>
          </cell>
          <cell r="M76">
            <v>29</v>
          </cell>
        </row>
        <row r="77">
          <cell r="B77">
            <v>78</v>
          </cell>
          <cell r="F77" t="str">
            <v/>
          </cell>
          <cell r="G77">
            <v>46082</v>
          </cell>
          <cell r="H77">
            <v>46446</v>
          </cell>
          <cell r="I77">
            <v>38000000</v>
          </cell>
          <cell r="J77">
            <v>3166666.6666666665</v>
          </cell>
          <cell r="K77">
            <v>2621122.1122112209</v>
          </cell>
          <cell r="L77">
            <v>545544.5544554455</v>
          </cell>
          <cell r="M77">
            <v>29</v>
          </cell>
        </row>
        <row r="78">
          <cell r="B78">
            <v>79</v>
          </cell>
          <cell r="F78" t="str">
            <v/>
          </cell>
          <cell r="G78">
            <v>46082</v>
          </cell>
          <cell r="H78">
            <v>46446</v>
          </cell>
          <cell r="I78">
            <v>60180170</v>
          </cell>
          <cell r="J78">
            <v>5015014.166666667</v>
          </cell>
          <cell r="K78">
            <v>4151041.4290429046</v>
          </cell>
          <cell r="L78">
            <v>863972.73762376246</v>
          </cell>
          <cell r="M78">
            <v>29</v>
          </cell>
        </row>
        <row r="79">
          <cell r="B79">
            <v>80</v>
          </cell>
          <cell r="F79" t="str">
            <v/>
          </cell>
          <cell r="G79">
            <v>46082</v>
          </cell>
          <cell r="H79">
            <v>46446</v>
          </cell>
          <cell r="I79">
            <v>58000000</v>
          </cell>
          <cell r="J79">
            <v>4833333.333333333</v>
          </cell>
          <cell r="K79">
            <v>4000660.0660066004</v>
          </cell>
          <cell r="L79">
            <v>832673.26732673263</v>
          </cell>
          <cell r="M79">
            <v>29</v>
          </cell>
        </row>
        <row r="80">
          <cell r="B80">
            <v>81</v>
          </cell>
          <cell r="F80" t="str">
            <v/>
          </cell>
          <cell r="I80" t="e">
            <v>#N/A</v>
          </cell>
          <cell r="K80" t="e">
            <v>#N/A</v>
          </cell>
          <cell r="L80" t="e">
            <v>#N/A</v>
          </cell>
          <cell r="M80">
            <v>29</v>
          </cell>
        </row>
        <row r="81">
          <cell r="B81">
            <v>82</v>
          </cell>
          <cell r="F81" t="str">
            <v/>
          </cell>
          <cell r="I81" t="e">
            <v>#N/A</v>
          </cell>
          <cell r="K81" t="e">
            <v>#N/A</v>
          </cell>
          <cell r="L81" t="e">
            <v>#N/A</v>
          </cell>
          <cell r="M81">
            <v>29</v>
          </cell>
        </row>
        <row r="82">
          <cell r="B82">
            <v>83</v>
          </cell>
          <cell r="F82" t="str">
            <v/>
          </cell>
          <cell r="I82" t="e">
            <v>#N/A</v>
          </cell>
          <cell r="K82" t="e">
            <v>#N/A</v>
          </cell>
          <cell r="L82" t="e">
            <v>#N/A</v>
          </cell>
          <cell r="M82">
            <v>29</v>
          </cell>
        </row>
        <row r="83">
          <cell r="B83">
            <v>84</v>
          </cell>
          <cell r="F83" t="str">
            <v/>
          </cell>
          <cell r="I83" t="e">
            <v>#N/A</v>
          </cell>
          <cell r="K83" t="e">
            <v>#N/A</v>
          </cell>
          <cell r="L83" t="e">
            <v>#N/A</v>
          </cell>
          <cell r="M83">
            <v>29</v>
          </cell>
        </row>
        <row r="84">
          <cell r="B84">
            <v>85</v>
          </cell>
          <cell r="F84" t="str">
            <v/>
          </cell>
          <cell r="I84" t="e">
            <v>#N/A</v>
          </cell>
          <cell r="K84" t="e">
            <v>#N/A</v>
          </cell>
          <cell r="L84" t="e">
            <v>#N/A</v>
          </cell>
          <cell r="M84">
            <v>29</v>
          </cell>
        </row>
        <row r="85">
          <cell r="B85">
            <v>86</v>
          </cell>
          <cell r="F85" t="str">
            <v/>
          </cell>
          <cell r="I85" t="e">
            <v>#N/A</v>
          </cell>
          <cell r="K85" t="e">
            <v>#N/A</v>
          </cell>
          <cell r="L85" t="e">
            <v>#N/A</v>
          </cell>
          <cell r="M85">
            <v>29</v>
          </cell>
        </row>
        <row r="86">
          <cell r="B86">
            <v>87</v>
          </cell>
          <cell r="F86" t="str">
            <v/>
          </cell>
          <cell r="I86" t="e">
            <v>#N/A</v>
          </cell>
          <cell r="K86" t="e">
            <v>#N/A</v>
          </cell>
          <cell r="L86" t="e">
            <v>#N/A</v>
          </cell>
          <cell r="M86">
            <v>29</v>
          </cell>
        </row>
        <row r="87">
          <cell r="B87">
            <v>88</v>
          </cell>
          <cell r="F87" t="str">
            <v/>
          </cell>
          <cell r="I87" t="e">
            <v>#N/A</v>
          </cell>
          <cell r="K87" t="e">
            <v>#N/A</v>
          </cell>
          <cell r="L87" t="e">
            <v>#N/A</v>
          </cell>
          <cell r="M87">
            <v>29</v>
          </cell>
        </row>
        <row r="88">
          <cell r="B88">
            <v>89</v>
          </cell>
          <cell r="F88" t="str">
            <v/>
          </cell>
          <cell r="I88" t="e">
            <v>#N/A</v>
          </cell>
          <cell r="K88" t="e">
            <v>#N/A</v>
          </cell>
          <cell r="L88" t="e">
            <v>#N/A</v>
          </cell>
          <cell r="M88">
            <v>29</v>
          </cell>
        </row>
        <row r="89">
          <cell r="B89">
            <v>90</v>
          </cell>
          <cell r="F89" t="str">
            <v/>
          </cell>
          <cell r="I89" t="e">
            <v>#N/A</v>
          </cell>
          <cell r="K89" t="e">
            <v>#N/A</v>
          </cell>
          <cell r="L89" t="e">
            <v>#N/A</v>
          </cell>
          <cell r="M89">
            <v>29</v>
          </cell>
        </row>
        <row r="90">
          <cell r="B90">
            <v>91</v>
          </cell>
          <cell r="F90" t="str">
            <v/>
          </cell>
          <cell r="I90" t="e">
            <v>#N/A</v>
          </cell>
          <cell r="K90" t="e">
            <v>#N/A</v>
          </cell>
          <cell r="L90" t="e">
            <v>#N/A</v>
          </cell>
          <cell r="M90">
            <v>29</v>
          </cell>
        </row>
        <row r="91">
          <cell r="B91">
            <v>92</v>
          </cell>
          <cell r="F91" t="str">
            <v/>
          </cell>
          <cell r="I91" t="e">
            <v>#N/A</v>
          </cell>
          <cell r="K91" t="e">
            <v>#N/A</v>
          </cell>
          <cell r="L91" t="e">
            <v>#N/A</v>
          </cell>
          <cell r="M91">
            <v>29</v>
          </cell>
        </row>
        <row r="92">
          <cell r="B92">
            <v>93</v>
          </cell>
          <cell r="F92" t="str">
            <v/>
          </cell>
          <cell r="I92" t="e">
            <v>#N/A</v>
          </cell>
          <cell r="K92" t="e">
            <v>#N/A</v>
          </cell>
          <cell r="L92" t="e">
            <v>#N/A</v>
          </cell>
          <cell r="M92">
            <v>29</v>
          </cell>
        </row>
        <row r="93">
          <cell r="B93">
            <v>94</v>
          </cell>
          <cell r="F93" t="str">
            <v/>
          </cell>
          <cell r="I93" t="e">
            <v>#N/A</v>
          </cell>
          <cell r="K93" t="e">
            <v>#N/A</v>
          </cell>
          <cell r="L93" t="e">
            <v>#N/A</v>
          </cell>
          <cell r="M93">
            <v>29</v>
          </cell>
        </row>
        <row r="94">
          <cell r="B94">
            <v>95</v>
          </cell>
          <cell r="F94" t="str">
            <v/>
          </cell>
          <cell r="I94" t="e">
            <v>#N/A</v>
          </cell>
          <cell r="K94" t="e">
            <v>#N/A</v>
          </cell>
          <cell r="L94" t="e">
            <v>#N/A</v>
          </cell>
          <cell r="M94">
            <v>29</v>
          </cell>
        </row>
        <row r="95">
          <cell r="B95">
            <v>96</v>
          </cell>
          <cell r="F95" t="str">
            <v/>
          </cell>
          <cell r="I95" t="e">
            <v>#N/A</v>
          </cell>
          <cell r="K95" t="e">
            <v>#N/A</v>
          </cell>
          <cell r="L95" t="e">
            <v>#N/A</v>
          </cell>
          <cell r="M95">
            <v>29</v>
          </cell>
        </row>
        <row r="96">
          <cell r="B96">
            <v>97</v>
          </cell>
          <cell r="F96" t="str">
            <v/>
          </cell>
          <cell r="I96" t="e">
            <v>#N/A</v>
          </cell>
          <cell r="K96" t="e">
            <v>#N/A</v>
          </cell>
          <cell r="L96" t="e">
            <v>#N/A</v>
          </cell>
          <cell r="M96">
            <v>29</v>
          </cell>
        </row>
        <row r="97">
          <cell r="B97">
            <v>98</v>
          </cell>
          <cell r="F97" t="str">
            <v/>
          </cell>
          <cell r="I97" t="e">
            <v>#N/A</v>
          </cell>
          <cell r="K97" t="e">
            <v>#N/A</v>
          </cell>
          <cell r="L97" t="e">
            <v>#N/A</v>
          </cell>
          <cell r="M97">
            <v>29</v>
          </cell>
        </row>
      </sheetData>
      <sheetData sheetId="1" refreshError="1"/>
      <sheetData sheetId="2">
        <row r="4">
          <cell r="B4" t="str">
            <v>(주)성원애드피아</v>
          </cell>
        </row>
        <row r="5">
          <cell r="B5" t="str">
            <v>정대원</v>
          </cell>
        </row>
        <row r="6">
          <cell r="B6" t="str">
            <v>서울 성동구 성수일로 80</v>
          </cell>
        </row>
        <row r="7">
          <cell r="B7">
            <v>80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FBAA-688E-48FA-8D94-284A02C49FA8}">
  <dimension ref="A2:Q114"/>
  <sheetViews>
    <sheetView tabSelected="1" topLeftCell="A22" workbookViewId="0">
      <selection activeCell="N40" sqref="N40:P40"/>
    </sheetView>
  </sheetViews>
  <sheetFormatPr defaultRowHeight="16.5"/>
  <cols>
    <col min="1" max="3" width="3.625" style="1" customWidth="1"/>
    <col min="4" max="6" width="7.625" style="1" customWidth="1"/>
    <col min="7" max="7" width="10.625" style="1" customWidth="1"/>
    <col min="8" max="16" width="7.625" style="1" customWidth="1"/>
    <col min="17" max="17" width="4.625" style="1" customWidth="1"/>
  </cols>
  <sheetData>
    <row r="2" spans="1:17">
      <c r="A2" s="91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3"/>
    </row>
    <row r="3" spans="1:17">
      <c r="A3" s="94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6"/>
    </row>
    <row r="4" spans="1:17">
      <c r="A4" s="2"/>
      <c r="B4" s="3"/>
      <c r="C4" s="3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7">
      <c r="A5" s="7"/>
      <c r="B5" s="8" t="s">
        <v>1</v>
      </c>
      <c r="C5" s="8"/>
      <c r="D5" s="8"/>
      <c r="E5" s="8"/>
      <c r="F5" s="9"/>
      <c r="H5" s="97">
        <f>S3</f>
        <v>0</v>
      </c>
      <c r="I5" s="97"/>
      <c r="J5" s="8" t="s">
        <v>2</v>
      </c>
      <c r="K5" s="8"/>
      <c r="L5" s="8"/>
      <c r="Q5" s="10"/>
    </row>
    <row r="6" spans="1:17">
      <c r="A6" s="7"/>
      <c r="B6" s="8" t="s">
        <v>3</v>
      </c>
      <c r="D6" s="8"/>
      <c r="E6" s="8"/>
      <c r="F6" s="8"/>
      <c r="G6" s="8"/>
      <c r="H6" s="8"/>
      <c r="I6" s="8"/>
      <c r="J6" s="8"/>
      <c r="K6" s="8"/>
      <c r="Q6" s="10"/>
    </row>
    <row r="7" spans="1:17">
      <c r="A7" s="7"/>
      <c r="B7" s="8"/>
      <c r="D7" s="8"/>
      <c r="E7" s="8"/>
      <c r="F7" s="8"/>
      <c r="G7" s="8"/>
      <c r="H7" s="8"/>
      <c r="I7" s="8"/>
      <c r="J7" s="8"/>
      <c r="K7" s="8"/>
      <c r="Q7" s="10"/>
    </row>
    <row r="8" spans="1:17">
      <c r="A8" s="7"/>
      <c r="C8" s="8"/>
      <c r="D8" s="8"/>
      <c r="E8" s="8"/>
      <c r="F8" s="8"/>
      <c r="G8" s="98" t="s">
        <v>4</v>
      </c>
      <c r="H8" s="98"/>
      <c r="I8" s="98"/>
      <c r="J8" s="98"/>
      <c r="K8" s="98"/>
      <c r="L8" s="98"/>
      <c r="Q8" s="10"/>
    </row>
    <row r="9" spans="1:17">
      <c r="A9" s="7"/>
      <c r="B9" s="12" t="s">
        <v>5</v>
      </c>
      <c r="C9" s="8"/>
      <c r="D9" s="8"/>
      <c r="E9" s="8"/>
      <c r="F9" s="8"/>
      <c r="G9" s="8"/>
      <c r="H9" s="8"/>
      <c r="I9" s="8"/>
      <c r="J9" s="8"/>
      <c r="K9" s="8"/>
      <c r="Q9" s="10"/>
    </row>
    <row r="10" spans="1:17">
      <c r="A10" s="7"/>
      <c r="B10" s="8"/>
      <c r="C10" s="9" t="s">
        <v>6</v>
      </c>
      <c r="D10" s="13" t="s">
        <v>7</v>
      </c>
      <c r="E10" s="8"/>
      <c r="G10" s="99">
        <f ca="1">TODAY()</f>
        <v>46247</v>
      </c>
      <c r="H10" s="99"/>
      <c r="I10" s="11" t="s">
        <v>8</v>
      </c>
      <c r="J10" s="14" t="s">
        <v>9</v>
      </c>
      <c r="K10" s="14"/>
      <c r="L10" s="14"/>
      <c r="M10" s="14"/>
      <c r="N10" s="15"/>
      <c r="O10" s="16"/>
      <c r="P10" s="16"/>
      <c r="Q10" s="10"/>
    </row>
    <row r="11" spans="1:17">
      <c r="A11" s="7"/>
      <c r="B11" s="8"/>
      <c r="C11" s="17"/>
      <c r="D11" s="170" t="s">
        <v>10</v>
      </c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8"/>
    </row>
    <row r="12" spans="1:17">
      <c r="A12" s="7"/>
      <c r="B12" s="8"/>
      <c r="C12" s="9" t="s">
        <v>11</v>
      </c>
      <c r="D12" s="13" t="s">
        <v>12</v>
      </c>
      <c r="E12" s="8"/>
      <c r="G12" s="100">
        <f ca="1">+G10</f>
        <v>46247</v>
      </c>
      <c r="H12" s="100"/>
      <c r="I12" s="11" t="s">
        <v>8</v>
      </c>
      <c r="J12" s="100">
        <v>46811</v>
      </c>
      <c r="K12" s="100"/>
      <c r="L12" s="8" t="s">
        <v>13</v>
      </c>
      <c r="M12" s="19"/>
      <c r="N12" s="8"/>
      <c r="Q12" s="10"/>
    </row>
    <row r="13" spans="1:17">
      <c r="A13" s="7"/>
      <c r="B13" s="8"/>
      <c r="C13" s="8"/>
      <c r="D13" s="20" t="s">
        <v>14</v>
      </c>
      <c r="E13" s="8"/>
      <c r="F13" s="8"/>
      <c r="G13" s="8"/>
      <c r="H13" s="8"/>
      <c r="I13" s="8"/>
      <c r="J13" s="8"/>
      <c r="K13" s="8"/>
      <c r="Q13" s="10"/>
    </row>
    <row r="14" spans="1:17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Q14" s="10"/>
    </row>
    <row r="15" spans="1:17">
      <c r="A15" s="7"/>
      <c r="B15" s="12" t="s">
        <v>15</v>
      </c>
      <c r="C15" s="8"/>
      <c r="D15" s="8"/>
      <c r="E15" s="8"/>
      <c r="F15" s="8"/>
      <c r="G15" s="8"/>
      <c r="H15" s="8"/>
      <c r="I15" s="8"/>
      <c r="J15" s="8"/>
      <c r="K15" s="8"/>
      <c r="Q15" s="10"/>
    </row>
    <row r="16" spans="1:17">
      <c r="A16" s="7"/>
      <c r="B16" s="12"/>
      <c r="C16" s="21" t="s">
        <v>6</v>
      </c>
      <c r="D16" s="8" t="s">
        <v>16</v>
      </c>
      <c r="E16" s="8"/>
      <c r="G16" s="22" t="s">
        <v>107</v>
      </c>
      <c r="H16" s="22"/>
      <c r="I16" s="8" t="s">
        <v>17</v>
      </c>
      <c r="J16" s="22" t="s">
        <v>108</v>
      </c>
      <c r="K16" s="8"/>
      <c r="L16" s="8" t="s">
        <v>18</v>
      </c>
      <c r="M16" s="22"/>
      <c r="N16" s="22"/>
      <c r="O16" s="8"/>
      <c r="Q16" s="10"/>
    </row>
    <row r="17" spans="1:17">
      <c r="A17" s="7"/>
      <c r="B17" s="8"/>
      <c r="C17" s="21" t="s">
        <v>11</v>
      </c>
      <c r="D17" s="8" t="s">
        <v>19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0"/>
    </row>
    <row r="18" spans="1:17">
      <c r="A18" s="7"/>
      <c r="B18" s="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10"/>
    </row>
    <row r="19" spans="1:17">
      <c r="A19" s="7"/>
      <c r="B19" s="12" t="s">
        <v>20</v>
      </c>
      <c r="C19" s="8"/>
      <c r="D19" s="8"/>
      <c r="E19" s="8"/>
      <c r="F19" s="8"/>
      <c r="G19" s="8"/>
      <c r="H19" s="8"/>
      <c r="I19" s="8"/>
      <c r="J19" s="8"/>
      <c r="K19" s="8"/>
      <c r="Q19" s="10"/>
    </row>
    <row r="20" spans="1:17">
      <c r="A20" s="7"/>
      <c r="B20" s="12"/>
      <c r="C20" s="21" t="s">
        <v>6</v>
      </c>
      <c r="D20" s="103" t="s">
        <v>21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"/>
    </row>
    <row r="21" spans="1:17">
      <c r="A21" s="7"/>
      <c r="B21" s="12"/>
      <c r="C21" s="21" t="s">
        <v>11</v>
      </c>
      <c r="D21" s="103" t="s">
        <v>22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25"/>
    </row>
    <row r="22" spans="1:17">
      <c r="A22" s="7"/>
      <c r="B22" s="12"/>
      <c r="C22" s="17"/>
      <c r="D22" s="106" t="s">
        <v>23</v>
      </c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"/>
    </row>
    <row r="23" spans="1:17">
      <c r="A23" s="7"/>
      <c r="B23" s="1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10"/>
    </row>
    <row r="24" spans="1:17">
      <c r="A24" s="7"/>
      <c r="B24" s="12"/>
      <c r="C24" s="169" t="s">
        <v>24</v>
      </c>
      <c r="D24" s="169"/>
      <c r="E24" s="105" t="s">
        <v>25</v>
      </c>
      <c r="F24" s="105"/>
      <c r="G24" s="105"/>
      <c r="H24" s="105" t="s">
        <v>26</v>
      </c>
      <c r="I24" s="105"/>
      <c r="J24" s="105"/>
      <c r="K24" s="105" t="s">
        <v>27</v>
      </c>
      <c r="L24" s="105"/>
      <c r="M24" s="105"/>
      <c r="N24" s="105"/>
      <c r="O24" s="105"/>
      <c r="P24" s="105"/>
      <c r="Q24" s="26"/>
    </row>
    <row r="25" spans="1:17">
      <c r="A25" s="7"/>
      <c r="B25" s="12"/>
      <c r="C25" s="164" t="s">
        <v>28</v>
      </c>
      <c r="D25" s="164"/>
      <c r="E25" s="108">
        <v>0.375</v>
      </c>
      <c r="F25" s="108"/>
      <c r="G25" s="108"/>
      <c r="H25" s="108">
        <v>0.75</v>
      </c>
      <c r="I25" s="108"/>
      <c r="J25" s="108"/>
      <c r="K25" s="165" t="s">
        <v>29</v>
      </c>
      <c r="L25" s="166"/>
      <c r="M25" s="166"/>
      <c r="N25" s="166"/>
      <c r="O25" s="166"/>
      <c r="P25" s="167"/>
      <c r="Q25" s="10"/>
    </row>
    <row r="26" spans="1:17">
      <c r="A26" s="7"/>
      <c r="B26" s="12"/>
      <c r="C26" s="168" t="s">
        <v>30</v>
      </c>
      <c r="D26" s="168"/>
      <c r="E26" s="108"/>
      <c r="F26" s="109"/>
      <c r="G26" s="109"/>
      <c r="H26" s="108"/>
      <c r="I26" s="109"/>
      <c r="J26" s="109"/>
      <c r="K26" s="165"/>
      <c r="L26" s="166"/>
      <c r="M26" s="166"/>
      <c r="N26" s="166"/>
      <c r="O26" s="166"/>
      <c r="P26" s="167"/>
      <c r="Q26" s="10"/>
    </row>
    <row r="27" spans="1:17">
      <c r="A27" s="7"/>
      <c r="B27" s="12"/>
      <c r="C27" s="23"/>
      <c r="D27" s="27"/>
      <c r="E27" s="28"/>
      <c r="F27" s="28"/>
      <c r="G27" s="27"/>
      <c r="H27" s="28"/>
      <c r="I27" s="28"/>
      <c r="J27" s="28"/>
      <c r="K27" s="28"/>
      <c r="L27" s="28"/>
      <c r="M27" s="28"/>
      <c r="N27" s="28"/>
      <c r="O27" s="29"/>
      <c r="P27" s="29"/>
      <c r="Q27" s="10"/>
    </row>
    <row r="28" spans="1:17">
      <c r="A28" s="7"/>
      <c r="B28" s="12"/>
      <c r="C28" s="9" t="s">
        <v>31</v>
      </c>
      <c r="D28" s="102" t="s">
        <v>32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25"/>
    </row>
    <row r="29" spans="1:17">
      <c r="A29" s="7"/>
      <c r="B29" s="12"/>
      <c r="C29" s="17"/>
      <c r="D29" s="106" t="s">
        <v>33</v>
      </c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31"/>
    </row>
    <row r="30" spans="1:17">
      <c r="A30" s="7"/>
      <c r="B30" s="12"/>
      <c r="C30" s="29"/>
      <c r="D30" s="32"/>
      <c r="E30" s="32"/>
      <c r="F30" s="32"/>
      <c r="G30" s="32"/>
      <c r="H30" s="32"/>
      <c r="I30" s="32"/>
      <c r="J30" s="32"/>
      <c r="K30" s="32"/>
      <c r="L30" s="110" t="s">
        <v>34</v>
      </c>
      <c r="M30" s="110"/>
      <c r="N30" s="110"/>
      <c r="O30" s="110"/>
      <c r="P30" s="110"/>
      <c r="Q30" s="31"/>
    </row>
    <row r="31" spans="1:17">
      <c r="A31" s="7"/>
      <c r="B31" s="12"/>
      <c r="C31" s="33" t="s">
        <v>35</v>
      </c>
      <c r="D31" s="106" t="s">
        <v>36</v>
      </c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"/>
    </row>
    <row r="32" spans="1:17">
      <c r="A32" s="7"/>
      <c r="B32" s="12"/>
      <c r="C32" s="21" t="s">
        <v>37</v>
      </c>
      <c r="D32" s="106" t="s">
        <v>38</v>
      </c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"/>
    </row>
    <row r="33" spans="1:17">
      <c r="A33" s="7"/>
      <c r="B33" s="12"/>
      <c r="C33" s="32"/>
      <c r="D33" s="32"/>
      <c r="E33" s="32"/>
      <c r="F33" s="32"/>
      <c r="G33" s="32"/>
      <c r="H33" s="32"/>
      <c r="I33" s="32"/>
      <c r="J33" s="32"/>
      <c r="K33" s="32"/>
      <c r="L33" s="110" t="s">
        <v>34</v>
      </c>
      <c r="M33" s="110"/>
      <c r="N33" s="110"/>
      <c r="O33" s="110"/>
      <c r="P33" s="110"/>
      <c r="Q33" s="31"/>
    </row>
    <row r="34" spans="1:17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Q34" s="10"/>
    </row>
    <row r="35" spans="1:17">
      <c r="A35" s="7"/>
      <c r="B35" s="12" t="s">
        <v>39</v>
      </c>
      <c r="C35" s="8"/>
      <c r="D35" s="8"/>
      <c r="E35" s="8"/>
      <c r="F35" s="8"/>
      <c r="G35" s="8"/>
      <c r="H35" s="8"/>
      <c r="I35" s="8"/>
      <c r="J35" s="8"/>
      <c r="K35" s="8"/>
      <c r="Q35" s="10"/>
    </row>
    <row r="36" spans="1:17">
      <c r="A36" s="7"/>
      <c r="B36" s="12"/>
      <c r="C36" s="9" t="s">
        <v>6</v>
      </c>
      <c r="D36" s="102" t="s">
        <v>40</v>
      </c>
      <c r="E36" s="103"/>
      <c r="F36" s="161">
        <f>T3</f>
        <v>0</v>
      </c>
      <c r="G36" s="161"/>
      <c r="H36" s="161"/>
      <c r="I36" s="161"/>
      <c r="J36" s="8" t="s">
        <v>41</v>
      </c>
      <c r="K36" s="8"/>
      <c r="L36" s="35"/>
      <c r="Q36" s="10"/>
    </row>
    <row r="37" spans="1:17">
      <c r="A37" s="7"/>
      <c r="B37" s="12"/>
      <c r="C37" s="21" t="s">
        <v>11</v>
      </c>
      <c r="D37" s="103" t="s">
        <v>162</v>
      </c>
      <c r="E37" s="103"/>
      <c r="F37" s="162">
        <v>30000000</v>
      </c>
      <c r="G37" s="162"/>
      <c r="H37" s="162"/>
      <c r="I37" s="162"/>
      <c r="J37" s="8" t="s">
        <v>163</v>
      </c>
      <c r="K37" s="8"/>
      <c r="L37" s="35"/>
      <c r="Q37" s="10"/>
    </row>
    <row r="38" spans="1:17">
      <c r="A38" s="7"/>
      <c r="B38" s="12"/>
      <c r="C38" s="21" t="s">
        <v>31</v>
      </c>
      <c r="D38" s="103" t="s">
        <v>122</v>
      </c>
      <c r="E38" s="103"/>
      <c r="F38" s="162">
        <f>+F37/12</f>
        <v>2500000</v>
      </c>
      <c r="G38" s="162"/>
      <c r="H38" s="162"/>
      <c r="I38" s="162"/>
      <c r="J38" s="8" t="s">
        <v>42</v>
      </c>
      <c r="K38" s="8"/>
      <c r="Q38" s="10"/>
    </row>
    <row r="39" spans="1:17">
      <c r="A39" s="7"/>
      <c r="B39" s="12"/>
      <c r="C39" s="8"/>
      <c r="D39" s="8"/>
      <c r="E39" s="8"/>
      <c r="F39" s="34"/>
      <c r="G39" s="34"/>
      <c r="H39" s="34"/>
      <c r="I39" s="34"/>
      <c r="J39" s="8"/>
      <c r="K39" s="8"/>
      <c r="Q39" s="10"/>
    </row>
    <row r="40" spans="1:17">
      <c r="A40" s="7"/>
      <c r="B40" s="12"/>
      <c r="C40" s="104" t="s">
        <v>43</v>
      </c>
      <c r="D40" s="104"/>
      <c r="E40" s="104" t="s">
        <v>44</v>
      </c>
      <c r="F40" s="104"/>
      <c r="G40" s="104"/>
      <c r="H40" s="163" t="s">
        <v>45</v>
      </c>
      <c r="I40" s="163"/>
      <c r="J40" s="163"/>
      <c r="K40" s="104" t="s">
        <v>46</v>
      </c>
      <c r="L40" s="104"/>
      <c r="M40" s="104"/>
      <c r="N40" s="104" t="s">
        <v>47</v>
      </c>
      <c r="O40" s="104"/>
      <c r="P40" s="104"/>
      <c r="Q40" s="10"/>
    </row>
    <row r="41" spans="1:17">
      <c r="A41" s="7"/>
      <c r="B41" s="12"/>
      <c r="C41" s="128" t="s">
        <v>48</v>
      </c>
      <c r="D41" s="128"/>
      <c r="E41" s="159">
        <f>V3</f>
        <v>0</v>
      </c>
      <c r="F41" s="159"/>
      <c r="G41" s="159"/>
      <c r="H41" s="159">
        <f>X3</f>
        <v>0</v>
      </c>
      <c r="I41" s="159"/>
      <c r="J41" s="159"/>
      <c r="K41" s="159">
        <v>0</v>
      </c>
      <c r="L41" s="159">
        <v>9496.6536712150737</v>
      </c>
      <c r="M41" s="159">
        <v>9496.6536712150737</v>
      </c>
      <c r="N41" s="160">
        <f>E41+H41+K41</f>
        <v>0</v>
      </c>
      <c r="O41" s="160"/>
      <c r="P41" s="160"/>
      <c r="Q41" s="10"/>
    </row>
    <row r="42" spans="1:17">
      <c r="A42" s="7"/>
      <c r="B42" s="12"/>
      <c r="C42" s="128" t="s">
        <v>49</v>
      </c>
      <c r="D42" s="128"/>
      <c r="E42" s="134" t="s">
        <v>50</v>
      </c>
      <c r="F42" s="135"/>
      <c r="G42" s="136"/>
      <c r="H42" s="140" t="s">
        <v>143</v>
      </c>
      <c r="I42" s="141"/>
      <c r="J42" s="142"/>
      <c r="K42" s="146"/>
      <c r="L42" s="147"/>
      <c r="M42" s="148"/>
      <c r="N42" s="152"/>
      <c r="O42" s="153"/>
      <c r="P42" s="154"/>
      <c r="Q42" s="10"/>
    </row>
    <row r="43" spans="1:17">
      <c r="A43" s="7"/>
      <c r="B43" s="12"/>
      <c r="C43" s="128"/>
      <c r="D43" s="128"/>
      <c r="E43" s="137"/>
      <c r="F43" s="138"/>
      <c r="G43" s="139"/>
      <c r="H43" s="143"/>
      <c r="I43" s="144"/>
      <c r="J43" s="145"/>
      <c r="K43" s="149"/>
      <c r="L43" s="150"/>
      <c r="M43" s="151"/>
      <c r="N43" s="155"/>
      <c r="O43" s="156"/>
      <c r="P43" s="157"/>
      <c r="Q43" s="10"/>
    </row>
    <row r="44" spans="1:17">
      <c r="A44" s="36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37"/>
    </row>
    <row r="45" spans="1:17">
      <c r="A45" s="36"/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7"/>
    </row>
    <row r="46" spans="1:17">
      <c r="A46" s="7"/>
      <c r="B46" s="8"/>
      <c r="C46" s="9" t="s">
        <v>31</v>
      </c>
      <c r="D46" s="112" t="s">
        <v>51</v>
      </c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0"/>
    </row>
    <row r="47" spans="1:17">
      <c r="A47" s="7"/>
      <c r="B47" s="8"/>
      <c r="C47" s="33" t="s">
        <v>35</v>
      </c>
      <c r="D47" s="106" t="s">
        <v>52</v>
      </c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25"/>
    </row>
    <row r="48" spans="1:17">
      <c r="A48" s="7"/>
      <c r="B48" s="8"/>
      <c r="C48" s="21" t="s">
        <v>37</v>
      </c>
      <c r="D48" s="106" t="s">
        <v>53</v>
      </c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25"/>
    </row>
    <row r="49" spans="1:17">
      <c r="A49" s="7"/>
      <c r="B49" s="8"/>
      <c r="C49" s="21" t="s">
        <v>54</v>
      </c>
      <c r="D49" s="106" t="s">
        <v>55</v>
      </c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25"/>
    </row>
    <row r="50" spans="1:17">
      <c r="A50" s="7"/>
      <c r="B50" s="8"/>
      <c r="C50" s="21" t="s">
        <v>56</v>
      </c>
      <c r="D50" s="106" t="s">
        <v>57</v>
      </c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25"/>
    </row>
    <row r="51" spans="1:17">
      <c r="A51" s="7"/>
      <c r="B51" s="8"/>
      <c r="C51" s="17"/>
      <c r="D51" s="106" t="s">
        <v>58</v>
      </c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25"/>
    </row>
    <row r="52" spans="1:17">
      <c r="A52" s="7"/>
      <c r="B52" s="8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5"/>
    </row>
    <row r="53" spans="1:17">
      <c r="A53" s="7"/>
      <c r="B53" s="12" t="s">
        <v>59</v>
      </c>
      <c r="C53" s="40"/>
      <c r="D53" s="40"/>
      <c r="E53" s="40"/>
      <c r="F53" s="40"/>
      <c r="G53" s="40"/>
      <c r="H53" s="40"/>
      <c r="I53" s="40"/>
      <c r="J53" s="40"/>
      <c r="K53" s="40"/>
      <c r="Q53" s="10"/>
    </row>
    <row r="54" spans="1:17">
      <c r="A54" s="7"/>
      <c r="C54" s="21" t="s">
        <v>6</v>
      </c>
      <c r="D54" s="114" t="s">
        <v>60</v>
      </c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25"/>
    </row>
    <row r="55" spans="1:17">
      <c r="A55" s="7"/>
      <c r="B55" s="8"/>
      <c r="C55" s="21" t="s">
        <v>11</v>
      </c>
      <c r="D55" s="106" t="s">
        <v>61</v>
      </c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"/>
    </row>
    <row r="56" spans="1:17">
      <c r="A56" s="7"/>
      <c r="B56" s="8"/>
      <c r="C56" s="9" t="s">
        <v>62</v>
      </c>
      <c r="D56" s="102" t="s">
        <v>63</v>
      </c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"/>
    </row>
    <row r="57" spans="1:17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Q57" s="10"/>
    </row>
    <row r="58" spans="1:17">
      <c r="A58" s="7"/>
      <c r="B58" s="12" t="s">
        <v>64</v>
      </c>
      <c r="C58" s="8"/>
      <c r="D58" s="8"/>
      <c r="E58" s="8"/>
      <c r="F58" s="8"/>
      <c r="G58" s="8"/>
      <c r="H58" s="8"/>
      <c r="I58" s="8"/>
      <c r="J58" s="8"/>
      <c r="K58" s="8"/>
      <c r="Q58" s="10"/>
    </row>
    <row r="59" spans="1:17">
      <c r="A59" s="7"/>
      <c r="C59" s="21" t="s">
        <v>6</v>
      </c>
      <c r="D59" s="103" t="s">
        <v>65</v>
      </c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"/>
    </row>
    <row r="60" spans="1:17">
      <c r="A60" s="7"/>
      <c r="B60" s="8"/>
      <c r="C60" s="21"/>
      <c r="D60" s="24" t="s">
        <v>66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10"/>
    </row>
    <row r="61" spans="1:17">
      <c r="A61" s="7"/>
      <c r="B61" s="8"/>
      <c r="C61" s="21" t="s">
        <v>11</v>
      </c>
      <c r="D61" s="106" t="s">
        <v>67</v>
      </c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"/>
    </row>
    <row r="62" spans="1:17">
      <c r="A62" s="7"/>
      <c r="B62" s="8"/>
      <c r="C62" s="21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10"/>
    </row>
    <row r="63" spans="1:17">
      <c r="A63" s="7"/>
      <c r="B63" s="12" t="s">
        <v>68</v>
      </c>
      <c r="C63" s="8"/>
      <c r="D63" s="8"/>
      <c r="E63" s="8"/>
      <c r="F63" s="8"/>
      <c r="G63" s="8"/>
      <c r="H63" s="8"/>
      <c r="I63" s="8"/>
      <c r="J63" s="8"/>
      <c r="K63" s="8"/>
      <c r="Q63" s="10"/>
    </row>
    <row r="64" spans="1:17">
      <c r="A64" s="7"/>
      <c r="C64" s="21" t="s">
        <v>6</v>
      </c>
      <c r="D64" s="106" t="s">
        <v>69</v>
      </c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"/>
    </row>
    <row r="65" spans="1:17">
      <c r="A65" s="7"/>
      <c r="C65" s="21"/>
      <c r="D65" s="106" t="s">
        <v>70</v>
      </c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"/>
    </row>
    <row r="66" spans="1:17">
      <c r="A66" s="7"/>
      <c r="C66" s="21"/>
      <c r="D66" s="106" t="s">
        <v>71</v>
      </c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"/>
    </row>
    <row r="67" spans="1:17">
      <c r="A67" s="7"/>
      <c r="C67" s="29"/>
      <c r="D67" s="32"/>
      <c r="E67" s="32"/>
      <c r="F67" s="32"/>
      <c r="G67" s="32"/>
      <c r="H67" s="32"/>
      <c r="I67" s="32"/>
      <c r="J67" s="32"/>
      <c r="K67" s="32"/>
      <c r="L67" s="110" t="s">
        <v>34</v>
      </c>
      <c r="M67" s="110"/>
      <c r="N67" s="110"/>
      <c r="O67" s="110"/>
      <c r="P67" s="110"/>
      <c r="Q67" s="10"/>
    </row>
    <row r="68" spans="1:17">
      <c r="A68" s="42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5"/>
    </row>
    <row r="69" spans="1:17">
      <c r="A69" s="7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10"/>
    </row>
    <row r="70" spans="1:17">
      <c r="A70" s="7"/>
      <c r="B70" s="12" t="s">
        <v>72</v>
      </c>
      <c r="C70" s="8"/>
      <c r="D70" s="8"/>
      <c r="E70" s="40"/>
      <c r="F70" s="40"/>
      <c r="G70" s="40"/>
      <c r="H70" s="8"/>
      <c r="I70" s="8"/>
      <c r="J70" s="8"/>
      <c r="K70" s="8"/>
      <c r="Q70" s="10"/>
    </row>
    <row r="71" spans="1:17">
      <c r="A71" s="7"/>
      <c r="C71" s="9" t="s">
        <v>6</v>
      </c>
      <c r="D71" s="103" t="s">
        <v>73</v>
      </c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"/>
    </row>
    <row r="72" spans="1:17">
      <c r="A72" s="7"/>
      <c r="B72" s="8"/>
      <c r="C72" s="46"/>
      <c r="D72" s="103" t="s">
        <v>74</v>
      </c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"/>
    </row>
    <row r="73" spans="1:17">
      <c r="A73" s="7"/>
      <c r="B73" s="8"/>
      <c r="C73" s="46"/>
      <c r="D73" s="103" t="s">
        <v>75</v>
      </c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"/>
    </row>
    <row r="74" spans="1:17">
      <c r="A74" s="7"/>
      <c r="B74" s="8"/>
      <c r="C74" s="46"/>
      <c r="D74" s="103" t="s">
        <v>76</v>
      </c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"/>
    </row>
    <row r="75" spans="1:17">
      <c r="A75" s="7"/>
      <c r="B75" s="8"/>
      <c r="C75" s="46"/>
      <c r="D75" s="103" t="s">
        <v>77</v>
      </c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"/>
    </row>
    <row r="76" spans="1:17">
      <c r="A76" s="7"/>
      <c r="B76" s="8"/>
      <c r="C76" s="46"/>
      <c r="D76" s="103" t="s">
        <v>78</v>
      </c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"/>
    </row>
    <row r="77" spans="1:17">
      <c r="A77" s="7"/>
      <c r="B77" s="8"/>
      <c r="C77" s="46"/>
      <c r="D77" s="103" t="s">
        <v>79</v>
      </c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"/>
    </row>
    <row r="78" spans="1:17">
      <c r="A78" s="7"/>
      <c r="B78" s="8"/>
      <c r="C78" s="21" t="s">
        <v>11</v>
      </c>
      <c r="D78" s="106" t="s">
        <v>80</v>
      </c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"/>
    </row>
    <row r="79" spans="1:17">
      <c r="A79" s="7"/>
      <c r="B79" s="8"/>
      <c r="C79" s="21"/>
      <c r="D79" s="106" t="s">
        <v>81</v>
      </c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"/>
    </row>
    <row r="80" spans="1:17">
      <c r="A80" s="7"/>
      <c r="B80" s="8"/>
      <c r="C80" s="21" t="s">
        <v>31</v>
      </c>
      <c r="D80" s="106" t="s">
        <v>82</v>
      </c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"/>
    </row>
    <row r="81" spans="1:17">
      <c r="A81" s="7"/>
      <c r="B81" s="8"/>
      <c r="C81" s="21"/>
      <c r="D81" s="106" t="s">
        <v>83</v>
      </c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"/>
    </row>
    <row r="82" spans="1:17">
      <c r="A82" s="7"/>
      <c r="B82" s="8"/>
      <c r="C82" s="21"/>
      <c r="D82" s="23"/>
      <c r="E82" s="23"/>
      <c r="F82" s="23"/>
      <c r="G82" s="23"/>
      <c r="H82" s="23"/>
      <c r="I82" s="23"/>
      <c r="J82" s="23"/>
      <c r="K82" s="23"/>
      <c r="L82" s="110" t="s">
        <v>34</v>
      </c>
      <c r="M82" s="110"/>
      <c r="N82" s="110"/>
      <c r="O82" s="110"/>
      <c r="P82" s="110"/>
      <c r="Q82" s="10"/>
    </row>
    <row r="83" spans="1:17">
      <c r="A83" s="7"/>
      <c r="B83" s="8"/>
      <c r="C83" s="21" t="s">
        <v>84</v>
      </c>
      <c r="D83" s="114" t="s">
        <v>85</v>
      </c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"/>
    </row>
    <row r="84" spans="1:17">
      <c r="A84" s="7"/>
      <c r="B84" s="8"/>
      <c r="C84" s="17"/>
      <c r="D84" s="106" t="s">
        <v>86</v>
      </c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"/>
    </row>
    <row r="85" spans="1:17">
      <c r="A85" s="7"/>
      <c r="B85" s="8"/>
      <c r="C85" s="17"/>
      <c r="D85" s="17"/>
      <c r="E85" s="17"/>
      <c r="F85" s="17"/>
      <c r="G85" s="17"/>
      <c r="H85" s="17"/>
      <c r="I85" s="17"/>
      <c r="J85" s="17"/>
      <c r="K85" s="17"/>
      <c r="L85" s="110" t="s">
        <v>34</v>
      </c>
      <c r="M85" s="110"/>
      <c r="N85" s="110"/>
      <c r="O85" s="110"/>
      <c r="P85" s="110"/>
      <c r="Q85" s="10"/>
    </row>
    <row r="86" spans="1:17">
      <c r="A86" s="7"/>
      <c r="B86" s="8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10"/>
    </row>
    <row r="87" spans="1:17">
      <c r="A87" s="7"/>
      <c r="B87" s="12" t="s">
        <v>87</v>
      </c>
      <c r="C87" s="8"/>
      <c r="D87" s="8"/>
      <c r="E87" s="8"/>
      <c r="F87" s="8"/>
      <c r="G87" s="8"/>
      <c r="H87" s="8"/>
      <c r="I87" s="8"/>
      <c r="J87" s="8"/>
      <c r="K87" s="8"/>
      <c r="Q87" s="10"/>
    </row>
    <row r="88" spans="1:17">
      <c r="A88" s="7"/>
      <c r="C88" s="102" t="s">
        <v>88</v>
      </c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"/>
    </row>
    <row r="89" spans="1:17">
      <c r="A89" s="7"/>
      <c r="B89" s="8"/>
      <c r="C89" s="17"/>
      <c r="D89" s="106" t="s">
        <v>89</v>
      </c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"/>
    </row>
    <row r="90" spans="1:17">
      <c r="A90" s="7"/>
      <c r="B90" s="8"/>
      <c r="C90" s="17"/>
      <c r="D90" s="106" t="s">
        <v>90</v>
      </c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"/>
    </row>
    <row r="91" spans="1:17">
      <c r="A91" s="7"/>
      <c r="B91" s="8"/>
      <c r="C91" s="17"/>
      <c r="D91" s="106" t="s">
        <v>91</v>
      </c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"/>
    </row>
    <row r="92" spans="1:17">
      <c r="A92" s="7"/>
      <c r="B92" s="8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10"/>
    </row>
    <row r="93" spans="1:17">
      <c r="A93" s="7"/>
      <c r="B93" s="12" t="s">
        <v>92</v>
      </c>
      <c r="Q93" s="10"/>
    </row>
    <row r="94" spans="1:17">
      <c r="A94" s="7"/>
      <c r="C94" s="114" t="s">
        <v>93</v>
      </c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33"/>
    </row>
    <row r="95" spans="1:17">
      <c r="A95" s="7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7"/>
    </row>
    <row r="96" spans="1:17">
      <c r="A96" s="7"/>
      <c r="B96" s="12" t="s">
        <v>94</v>
      </c>
      <c r="D96" s="8"/>
      <c r="E96" s="8"/>
      <c r="F96" s="8"/>
      <c r="G96" s="8"/>
      <c r="H96" s="8"/>
      <c r="I96" s="8"/>
      <c r="J96" s="8"/>
      <c r="K96" s="8"/>
      <c r="Q96" s="10"/>
    </row>
    <row r="97" spans="1:17">
      <c r="A97" s="7"/>
      <c r="C97" s="13" t="s">
        <v>95</v>
      </c>
      <c r="D97" s="40"/>
      <c r="E97" s="40"/>
      <c r="F97" s="40"/>
      <c r="G97" s="40"/>
      <c r="H97" s="8"/>
      <c r="I97" s="8"/>
      <c r="J97" s="8"/>
      <c r="K97" s="8"/>
      <c r="Q97" s="10"/>
    </row>
    <row r="98" spans="1:17">
      <c r="A98" s="7"/>
      <c r="C98" s="13"/>
      <c r="D98" s="40"/>
      <c r="E98" s="40"/>
      <c r="F98" s="40"/>
      <c r="G98" s="40"/>
      <c r="H98" s="8"/>
      <c r="I98" s="8"/>
      <c r="J98" s="8"/>
      <c r="K98" s="8"/>
      <c r="Q98" s="10"/>
    </row>
    <row r="99" spans="1:17">
      <c r="A99" s="7"/>
      <c r="B99" s="12" t="s">
        <v>96</v>
      </c>
      <c r="Q99" s="10"/>
    </row>
    <row r="100" spans="1:17">
      <c r="A100" s="7"/>
      <c r="C100" s="106" t="s">
        <v>97</v>
      </c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"/>
    </row>
    <row r="101" spans="1:17">
      <c r="A101" s="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10"/>
    </row>
    <row r="102" spans="1:17">
      <c r="A102" s="7"/>
      <c r="B102" s="12" t="s">
        <v>98</v>
      </c>
      <c r="C102" s="48"/>
      <c r="D102" s="49"/>
      <c r="E102" s="49"/>
      <c r="F102" s="50"/>
      <c r="G102" s="50"/>
      <c r="H102" s="50"/>
      <c r="I102" s="50"/>
      <c r="J102" s="50"/>
      <c r="K102" s="50"/>
      <c r="L102" s="51"/>
      <c r="M102" s="52"/>
      <c r="N102" s="52"/>
      <c r="O102" s="52"/>
      <c r="P102" s="52"/>
      <c r="Q102" s="10"/>
    </row>
    <row r="103" spans="1:17">
      <c r="A103" s="7"/>
      <c r="B103" s="12"/>
      <c r="C103" s="48"/>
      <c r="D103" s="49"/>
      <c r="E103" s="49"/>
      <c r="F103" s="50"/>
      <c r="G103" s="50"/>
      <c r="H103" s="50"/>
      <c r="I103" s="50"/>
      <c r="J103" s="50"/>
      <c r="K103" s="50"/>
      <c r="L103" s="51"/>
      <c r="M103" s="52"/>
      <c r="N103" s="52"/>
      <c r="O103" s="52"/>
      <c r="P103" s="52"/>
      <c r="Q103" s="10"/>
    </row>
    <row r="104" spans="1:17">
      <c r="A104" s="128" t="s">
        <v>99</v>
      </c>
      <c r="B104" s="128"/>
      <c r="C104" s="128"/>
      <c r="D104" s="119" t="str">
        <f>LEFT(S3,4)</f>
        <v/>
      </c>
      <c r="E104" s="120"/>
      <c r="F104" s="121"/>
      <c r="G104" s="119" t="s">
        <v>100</v>
      </c>
      <c r="H104" s="121"/>
      <c r="I104" s="119"/>
      <c r="J104" s="120"/>
      <c r="K104" s="121"/>
      <c r="L104" s="119" t="s">
        <v>101</v>
      </c>
      <c r="M104" s="121"/>
      <c r="N104" s="122"/>
      <c r="O104" s="123"/>
      <c r="P104" s="123"/>
      <c r="Q104" s="124"/>
    </row>
    <row r="105" spans="1:17">
      <c r="A105" s="128" t="s">
        <v>102</v>
      </c>
      <c r="B105" s="128"/>
      <c r="C105" s="128"/>
      <c r="D105" s="119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1"/>
    </row>
    <row r="106" spans="1:17">
      <c r="A106" s="53"/>
      <c r="B106" s="11"/>
      <c r="C106" s="11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5"/>
    </row>
    <row r="107" spans="1:17">
      <c r="A107" s="125">
        <v>46220</v>
      </c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7"/>
    </row>
    <row r="108" spans="1:17">
      <c r="A108" s="7"/>
      <c r="B108" s="8"/>
      <c r="D108" s="8"/>
      <c r="E108" s="8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Q108" s="10"/>
    </row>
    <row r="109" spans="1:17">
      <c r="A109" s="7"/>
      <c r="B109" s="119" t="s">
        <v>103</v>
      </c>
      <c r="C109" s="120"/>
      <c r="D109" s="120"/>
      <c r="E109" s="120"/>
      <c r="F109" s="120"/>
      <c r="G109" s="120"/>
      <c r="H109" s="120"/>
      <c r="I109" s="121"/>
      <c r="J109" s="119" t="s">
        <v>104</v>
      </c>
      <c r="K109" s="120"/>
      <c r="L109" s="120"/>
      <c r="M109" s="120"/>
      <c r="N109" s="120"/>
      <c r="O109" s="120"/>
      <c r="P109" s="121"/>
      <c r="Q109" s="10"/>
    </row>
    <row r="110" spans="1:17">
      <c r="A110" s="7"/>
      <c r="B110" s="129" t="s">
        <v>105</v>
      </c>
      <c r="C110" s="130"/>
      <c r="D110" s="130"/>
      <c r="E110" s="130"/>
      <c r="F110" s="130"/>
      <c r="G110" s="131" t="s">
        <v>106</v>
      </c>
      <c r="H110" s="131"/>
      <c r="I110" s="132"/>
      <c r="J110" s="129" t="str">
        <f>D104</f>
        <v/>
      </c>
      <c r="K110" s="130"/>
      <c r="L110" s="130"/>
      <c r="M110" s="130"/>
      <c r="N110" s="131" t="s">
        <v>106</v>
      </c>
      <c r="O110" s="131"/>
      <c r="P110" s="132"/>
      <c r="Q110" s="10"/>
    </row>
    <row r="111" spans="1:17">
      <c r="A111" s="7"/>
      <c r="B111" s="8"/>
      <c r="C111" s="8"/>
      <c r="Q111" s="10"/>
    </row>
    <row r="112" spans="1:17">
      <c r="A112" s="7"/>
      <c r="B112" s="8"/>
      <c r="Q112" s="10"/>
    </row>
    <row r="113" spans="1:17">
      <c r="A113" s="7"/>
      <c r="B113" s="8"/>
      <c r="Q113" s="10"/>
    </row>
    <row r="114" spans="1:17">
      <c r="A114" s="42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5"/>
    </row>
  </sheetData>
  <mergeCells count="101">
    <mergeCell ref="D20:P20"/>
    <mergeCell ref="D21:P21"/>
    <mergeCell ref="D22:P22"/>
    <mergeCell ref="C24:D24"/>
    <mergeCell ref="E24:G24"/>
    <mergeCell ref="H24:J24"/>
    <mergeCell ref="K24:P24"/>
    <mergeCell ref="A2:Q3"/>
    <mergeCell ref="H5:I5"/>
    <mergeCell ref="G8:L8"/>
    <mergeCell ref="G10:H10"/>
    <mergeCell ref="D11:P11"/>
    <mergeCell ref="G12:H12"/>
    <mergeCell ref="J12:K12"/>
    <mergeCell ref="D28:P28"/>
    <mergeCell ref="D29:P29"/>
    <mergeCell ref="L30:P30"/>
    <mergeCell ref="D31:P31"/>
    <mergeCell ref="D32:P32"/>
    <mergeCell ref="L33:P33"/>
    <mergeCell ref="C25:D25"/>
    <mergeCell ref="E25:G25"/>
    <mergeCell ref="H25:J25"/>
    <mergeCell ref="K25:P25"/>
    <mergeCell ref="C26:D26"/>
    <mergeCell ref="E26:G26"/>
    <mergeCell ref="H26:J26"/>
    <mergeCell ref="K26:P26"/>
    <mergeCell ref="K40:M40"/>
    <mergeCell ref="N40:P40"/>
    <mergeCell ref="C41:D41"/>
    <mergeCell ref="E41:G41"/>
    <mergeCell ref="H41:J41"/>
    <mergeCell ref="K41:M41"/>
    <mergeCell ref="N41:P41"/>
    <mergeCell ref="D36:E36"/>
    <mergeCell ref="F36:I36"/>
    <mergeCell ref="D38:E38"/>
    <mergeCell ref="F38:I38"/>
    <mergeCell ref="C40:D40"/>
    <mergeCell ref="E40:G40"/>
    <mergeCell ref="H40:J40"/>
    <mergeCell ref="D37:E37"/>
    <mergeCell ref="F37:I37"/>
    <mergeCell ref="D46:P46"/>
    <mergeCell ref="D47:P47"/>
    <mergeCell ref="D48:P48"/>
    <mergeCell ref="D49:P49"/>
    <mergeCell ref="D50:P50"/>
    <mergeCell ref="D51:P51"/>
    <mergeCell ref="C42:D43"/>
    <mergeCell ref="E42:G43"/>
    <mergeCell ref="H42:J43"/>
    <mergeCell ref="K42:M43"/>
    <mergeCell ref="N42:P43"/>
    <mergeCell ref="B44:P44"/>
    <mergeCell ref="D65:P65"/>
    <mergeCell ref="D66:P66"/>
    <mergeCell ref="L67:P67"/>
    <mergeCell ref="D71:P71"/>
    <mergeCell ref="D72:P72"/>
    <mergeCell ref="D73:P73"/>
    <mergeCell ref="D54:P54"/>
    <mergeCell ref="D55:P55"/>
    <mergeCell ref="D56:P56"/>
    <mergeCell ref="D59:P59"/>
    <mergeCell ref="D61:P61"/>
    <mergeCell ref="D64:P64"/>
    <mergeCell ref="D80:P80"/>
    <mergeCell ref="D81:P81"/>
    <mergeCell ref="L82:P82"/>
    <mergeCell ref="D83:P83"/>
    <mergeCell ref="D84:P84"/>
    <mergeCell ref="L85:P85"/>
    <mergeCell ref="D74:P74"/>
    <mergeCell ref="D75:P75"/>
    <mergeCell ref="D76:P76"/>
    <mergeCell ref="D77:P77"/>
    <mergeCell ref="D78:P78"/>
    <mergeCell ref="D79:P79"/>
    <mergeCell ref="A104:C104"/>
    <mergeCell ref="D104:F104"/>
    <mergeCell ref="G104:H104"/>
    <mergeCell ref="I104:K104"/>
    <mergeCell ref="L104:M104"/>
    <mergeCell ref="N104:Q104"/>
    <mergeCell ref="C88:P88"/>
    <mergeCell ref="D89:P89"/>
    <mergeCell ref="D90:P90"/>
    <mergeCell ref="D91:P91"/>
    <mergeCell ref="C94:Q94"/>
    <mergeCell ref="C100:P100"/>
    <mergeCell ref="A105:C105"/>
    <mergeCell ref="D105:Q105"/>
    <mergeCell ref="A107:Q107"/>
    <mergeCell ref="B109:I109"/>
    <mergeCell ref="J109:P109"/>
    <mergeCell ref="B110:F110"/>
    <mergeCell ref="G110:I110"/>
    <mergeCell ref="J110:M110"/>
    <mergeCell ref="N110:P110"/>
  </mergeCells>
  <phoneticPr fontId="3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319-3CA0-4F8C-BBFB-9C5777C6C02A}">
  <dimension ref="A1:Q114"/>
  <sheetViews>
    <sheetView topLeftCell="A82" workbookViewId="0">
      <selection activeCell="A77" sqref="A77:XFD77"/>
    </sheetView>
  </sheetViews>
  <sheetFormatPr defaultRowHeight="16.5"/>
  <cols>
    <col min="1" max="3" width="3.625" style="1" customWidth="1"/>
    <col min="4" max="6" width="7.625" style="1" customWidth="1"/>
    <col min="7" max="7" width="12.25" style="1" customWidth="1"/>
    <col min="8" max="16" width="7.625" style="1" customWidth="1"/>
    <col min="17" max="17" width="4.625" style="1" customWidth="1"/>
  </cols>
  <sheetData>
    <row r="1" spans="1:17">
      <c r="A1" s="91" t="s">
        <v>109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3"/>
    </row>
    <row r="2" spans="1:17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6"/>
    </row>
    <row r="3" spans="1:17">
      <c r="A3" s="2"/>
      <c r="B3" s="3"/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</row>
    <row r="4" spans="1:17">
      <c r="A4" s="7"/>
      <c r="B4" s="8" t="s">
        <v>110</v>
      </c>
      <c r="C4" s="8"/>
      <c r="D4" s="8"/>
      <c r="E4" s="8"/>
      <c r="F4" s="9"/>
      <c r="H4" s="97">
        <f>S2</f>
        <v>0</v>
      </c>
      <c r="I4" s="97"/>
      <c r="J4" s="8" t="s">
        <v>111</v>
      </c>
      <c r="K4" s="8"/>
      <c r="L4" s="8"/>
      <c r="Q4" s="10"/>
    </row>
    <row r="5" spans="1:17">
      <c r="A5" s="7"/>
      <c r="B5" s="8" t="s">
        <v>3</v>
      </c>
      <c r="D5" s="8"/>
      <c r="E5" s="8"/>
      <c r="F5" s="8"/>
      <c r="G5" s="8"/>
      <c r="H5" s="8"/>
      <c r="I5" s="8"/>
      <c r="J5" s="8"/>
      <c r="K5" s="8"/>
      <c r="Q5" s="10"/>
    </row>
    <row r="6" spans="1:17">
      <c r="A6" s="7"/>
      <c r="B6" s="8"/>
      <c r="D6" s="8"/>
      <c r="E6" s="8"/>
      <c r="F6" s="8"/>
      <c r="G6" s="8"/>
      <c r="H6" s="8"/>
      <c r="I6" s="8"/>
      <c r="J6" s="8"/>
      <c r="K6" s="8"/>
      <c r="Q6" s="10"/>
    </row>
    <row r="7" spans="1:17">
      <c r="A7" s="7"/>
      <c r="C7" s="8"/>
      <c r="D7" s="8"/>
      <c r="E7" s="8"/>
      <c r="F7" s="8"/>
      <c r="G7" s="98" t="s">
        <v>4</v>
      </c>
      <c r="H7" s="98"/>
      <c r="I7" s="98"/>
      <c r="J7" s="98"/>
      <c r="K7" s="98"/>
      <c r="L7" s="98"/>
      <c r="Q7" s="10"/>
    </row>
    <row r="8" spans="1:17">
      <c r="A8" s="7"/>
      <c r="B8" s="12" t="s">
        <v>5</v>
      </c>
      <c r="C8" s="8"/>
      <c r="D8" s="8"/>
      <c r="E8" s="8"/>
      <c r="F8" s="8"/>
      <c r="G8" s="8"/>
      <c r="H8" s="8"/>
      <c r="I8" s="8"/>
      <c r="J8" s="8"/>
      <c r="K8" s="8"/>
      <c r="Q8" s="10"/>
    </row>
    <row r="9" spans="1:17">
      <c r="A9" s="7"/>
      <c r="B9" s="8"/>
      <c r="C9" s="9" t="s">
        <v>6</v>
      </c>
      <c r="D9" s="13" t="s">
        <v>112</v>
      </c>
      <c r="E9" s="8"/>
      <c r="G9" s="99">
        <f ca="1">TODAY()</f>
        <v>46247</v>
      </c>
      <c r="H9" s="99"/>
      <c r="I9" s="11" t="s">
        <v>8</v>
      </c>
      <c r="J9" s="100">
        <f ca="1">EDATE(G9,3)-1</f>
        <v>46338</v>
      </c>
      <c r="K9" s="100"/>
      <c r="L9" s="15" t="s">
        <v>113</v>
      </c>
      <c r="M9" s="14"/>
      <c r="N9" s="15"/>
      <c r="O9" s="16"/>
      <c r="P9" s="16"/>
      <c r="Q9" s="10"/>
    </row>
    <row r="10" spans="1:17">
      <c r="A10" s="7"/>
      <c r="B10" s="8"/>
      <c r="C10" s="17"/>
      <c r="D10" s="170" t="s">
        <v>114</v>
      </c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8"/>
    </row>
    <row r="11" spans="1:17">
      <c r="A11" s="7"/>
      <c r="B11" s="8"/>
      <c r="C11" s="9" t="s">
        <v>11</v>
      </c>
      <c r="D11" s="13" t="s">
        <v>115</v>
      </c>
      <c r="E11" s="8"/>
      <c r="G11" s="99">
        <f ca="1">+G9</f>
        <v>46247</v>
      </c>
      <c r="H11" s="99"/>
      <c r="I11" s="11" t="s">
        <v>8</v>
      </c>
      <c r="J11" s="100">
        <f ca="1">+J9</f>
        <v>46338</v>
      </c>
      <c r="K11" s="100"/>
      <c r="L11" s="8" t="s">
        <v>13</v>
      </c>
      <c r="M11" s="19"/>
      <c r="N11" s="8"/>
      <c r="Q11" s="10"/>
    </row>
    <row r="12" spans="1:17">
      <c r="A12" s="7"/>
      <c r="B12" s="8"/>
      <c r="C12" s="8"/>
      <c r="D12" s="20"/>
      <c r="E12" s="8"/>
      <c r="F12" s="8"/>
      <c r="G12" s="8"/>
      <c r="H12" s="8"/>
      <c r="I12" s="8"/>
      <c r="J12" s="8"/>
      <c r="K12" s="8"/>
      <c r="Q12" s="10"/>
    </row>
    <row r="13" spans="1:17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Q13" s="10"/>
    </row>
    <row r="14" spans="1:17">
      <c r="A14" s="7"/>
      <c r="B14" s="12" t="s">
        <v>15</v>
      </c>
      <c r="C14" s="8"/>
      <c r="D14" s="8"/>
      <c r="E14" s="8"/>
      <c r="F14" s="8"/>
      <c r="G14" s="8"/>
      <c r="H14" s="8"/>
      <c r="I14" s="8"/>
      <c r="J14" s="8"/>
      <c r="K14" s="8"/>
      <c r="Q14" s="10"/>
    </row>
    <row r="15" spans="1:17">
      <c r="A15" s="7"/>
      <c r="B15" s="12"/>
      <c r="C15" s="21" t="s">
        <v>6</v>
      </c>
      <c r="D15" s="8" t="s">
        <v>116</v>
      </c>
      <c r="E15" s="8"/>
      <c r="G15" s="56" t="s">
        <v>107</v>
      </c>
      <c r="H15" s="22"/>
      <c r="I15" s="8" t="s">
        <v>17</v>
      </c>
      <c r="J15" s="22" t="s">
        <v>108</v>
      </c>
      <c r="K15" s="8"/>
      <c r="L15" s="8" t="s">
        <v>18</v>
      </c>
      <c r="M15" s="22"/>
      <c r="N15" s="22"/>
      <c r="O15" s="8"/>
      <c r="Q15" s="10"/>
    </row>
    <row r="16" spans="1:17">
      <c r="A16" s="7"/>
      <c r="B16" s="8"/>
      <c r="C16" s="21" t="s">
        <v>11</v>
      </c>
      <c r="D16" s="13" t="s">
        <v>117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0"/>
    </row>
    <row r="17" spans="1:17">
      <c r="A17" s="7"/>
      <c r="B17" s="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0"/>
    </row>
    <row r="18" spans="1:17">
      <c r="A18" s="7"/>
      <c r="B18" s="12" t="s">
        <v>20</v>
      </c>
      <c r="C18" s="8"/>
      <c r="D18" s="8"/>
      <c r="E18" s="8"/>
      <c r="F18" s="8"/>
      <c r="G18" s="8"/>
      <c r="H18" s="8"/>
      <c r="I18" s="8"/>
      <c r="J18" s="8"/>
      <c r="K18" s="8"/>
      <c r="Q18" s="10"/>
    </row>
    <row r="19" spans="1:17">
      <c r="A19" s="7"/>
      <c r="B19" s="12"/>
      <c r="C19" s="21" t="s">
        <v>6</v>
      </c>
      <c r="D19" s="103" t="s">
        <v>118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"/>
    </row>
    <row r="20" spans="1:17">
      <c r="A20" s="7"/>
      <c r="B20" s="12"/>
      <c r="C20" s="21" t="s">
        <v>11</v>
      </c>
      <c r="D20" s="103" t="s">
        <v>119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25"/>
    </row>
    <row r="21" spans="1:17">
      <c r="A21" s="7"/>
      <c r="B21" s="12"/>
      <c r="C21" s="17"/>
      <c r="D21" s="106" t="s">
        <v>23</v>
      </c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"/>
    </row>
    <row r="22" spans="1:17">
      <c r="A22" s="7"/>
      <c r="B22" s="1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10"/>
    </row>
    <row r="23" spans="1:17">
      <c r="A23" s="7"/>
      <c r="B23" s="12"/>
      <c r="C23" s="169" t="s">
        <v>24</v>
      </c>
      <c r="D23" s="169"/>
      <c r="E23" s="105" t="s">
        <v>25</v>
      </c>
      <c r="F23" s="105"/>
      <c r="G23" s="105"/>
      <c r="H23" s="105" t="s">
        <v>26</v>
      </c>
      <c r="I23" s="105"/>
      <c r="J23" s="105"/>
      <c r="K23" s="105" t="s">
        <v>27</v>
      </c>
      <c r="L23" s="105"/>
      <c r="M23" s="105"/>
      <c r="N23" s="105"/>
      <c r="O23" s="105"/>
      <c r="P23" s="105"/>
      <c r="Q23" s="26"/>
    </row>
    <row r="24" spans="1:17">
      <c r="A24" s="7"/>
      <c r="B24" s="12"/>
      <c r="C24" s="164" t="s">
        <v>28</v>
      </c>
      <c r="D24" s="164"/>
      <c r="E24" s="108">
        <v>0.375</v>
      </c>
      <c r="F24" s="108"/>
      <c r="G24" s="108"/>
      <c r="H24" s="108">
        <v>0.75</v>
      </c>
      <c r="I24" s="108"/>
      <c r="J24" s="108"/>
      <c r="K24" s="109" t="s">
        <v>29</v>
      </c>
      <c r="L24" s="109"/>
      <c r="M24" s="109"/>
      <c r="N24" s="179"/>
      <c r="O24" s="179"/>
      <c r="P24" s="179"/>
      <c r="Q24" s="10"/>
    </row>
    <row r="25" spans="1:17">
      <c r="A25" s="7"/>
      <c r="B25" s="12"/>
      <c r="C25" s="168" t="s">
        <v>30</v>
      </c>
      <c r="D25" s="168"/>
      <c r="E25" s="108"/>
      <c r="F25" s="109"/>
      <c r="G25" s="109"/>
      <c r="H25" s="108"/>
      <c r="I25" s="109"/>
      <c r="J25" s="109"/>
      <c r="K25" s="165"/>
      <c r="L25" s="166"/>
      <c r="M25" s="166"/>
      <c r="N25" s="166"/>
      <c r="O25" s="166"/>
      <c r="P25" s="167"/>
      <c r="Q25" s="10"/>
    </row>
    <row r="26" spans="1:17">
      <c r="A26" s="7"/>
      <c r="B26" s="12"/>
      <c r="C26" s="23"/>
      <c r="D26" s="27"/>
      <c r="E26" s="28"/>
      <c r="F26" s="28"/>
      <c r="G26" s="27"/>
      <c r="H26" s="28"/>
      <c r="I26" s="28"/>
      <c r="J26" s="28"/>
      <c r="K26" s="28"/>
      <c r="L26" s="28"/>
      <c r="M26" s="28"/>
      <c r="N26" s="28"/>
      <c r="O26" s="29"/>
      <c r="P26" s="29"/>
      <c r="Q26" s="10"/>
    </row>
    <row r="27" spans="1:17">
      <c r="A27" s="7"/>
      <c r="B27" s="12"/>
      <c r="C27" s="9" t="s">
        <v>31</v>
      </c>
      <c r="D27" s="102" t="s">
        <v>120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25"/>
    </row>
    <row r="28" spans="1:17">
      <c r="A28" s="7"/>
      <c r="B28" s="12"/>
      <c r="C28" s="17"/>
      <c r="D28" s="106" t="s">
        <v>33</v>
      </c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31"/>
    </row>
    <row r="29" spans="1:17">
      <c r="A29" s="7"/>
      <c r="B29" s="12"/>
      <c r="C29" s="29"/>
      <c r="D29" s="32"/>
      <c r="E29" s="32"/>
      <c r="F29" s="32"/>
      <c r="G29" s="32"/>
      <c r="H29" s="32"/>
      <c r="I29" s="32"/>
      <c r="J29" s="32"/>
      <c r="K29" s="32"/>
      <c r="L29" s="110" t="s">
        <v>34</v>
      </c>
      <c r="M29" s="110"/>
      <c r="N29" s="110"/>
      <c r="O29" s="110"/>
      <c r="P29" s="110"/>
      <c r="Q29" s="31"/>
    </row>
    <row r="30" spans="1:17">
      <c r="A30" s="7"/>
      <c r="B30" s="12"/>
      <c r="C30" s="33" t="s">
        <v>35</v>
      </c>
      <c r="D30" s="106" t="s">
        <v>36</v>
      </c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"/>
    </row>
    <row r="31" spans="1:17">
      <c r="A31" s="7"/>
      <c r="B31" s="12"/>
      <c r="C31" s="21" t="s">
        <v>37</v>
      </c>
      <c r="D31" s="106" t="s">
        <v>38</v>
      </c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"/>
    </row>
    <row r="32" spans="1:17">
      <c r="A32" s="7"/>
      <c r="B32" s="12"/>
      <c r="C32" s="32"/>
      <c r="D32" s="32"/>
      <c r="E32" s="32"/>
      <c r="F32" s="32"/>
      <c r="G32" s="32"/>
      <c r="H32" s="32"/>
      <c r="I32" s="32"/>
      <c r="J32" s="32"/>
      <c r="K32" s="32"/>
      <c r="L32" s="110" t="s">
        <v>34</v>
      </c>
      <c r="M32" s="110"/>
      <c r="N32" s="110"/>
      <c r="O32" s="110"/>
      <c r="P32" s="110"/>
      <c r="Q32" s="31"/>
    </row>
    <row r="33" spans="1:17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Q33" s="10"/>
    </row>
    <row r="34" spans="1:17">
      <c r="A34" s="7"/>
      <c r="B34" s="12" t="s">
        <v>39</v>
      </c>
      <c r="C34" s="8"/>
      <c r="D34" s="8"/>
      <c r="E34" s="8"/>
      <c r="F34" s="8"/>
      <c r="G34" s="8"/>
      <c r="H34" s="8"/>
      <c r="I34" s="8"/>
      <c r="J34" s="8"/>
      <c r="K34" s="8"/>
      <c r="Q34" s="10"/>
    </row>
    <row r="35" spans="1:17">
      <c r="A35" s="7"/>
      <c r="B35" s="12"/>
      <c r="C35" s="21" t="s">
        <v>6</v>
      </c>
      <c r="D35" s="103" t="s">
        <v>115</v>
      </c>
      <c r="E35" s="103"/>
      <c r="F35" s="103"/>
      <c r="G35" s="99">
        <f ca="1">G11</f>
        <v>46247</v>
      </c>
      <c r="H35" s="99"/>
      <c r="I35" s="11" t="s">
        <v>8</v>
      </c>
      <c r="J35" s="99">
        <f ca="1">EDATE(G35,3)-1</f>
        <v>46338</v>
      </c>
      <c r="K35" s="99"/>
      <c r="L35" s="178" t="s">
        <v>121</v>
      </c>
      <c r="M35" s="178"/>
      <c r="Q35" s="10"/>
    </row>
    <row r="36" spans="1:17">
      <c r="A36" s="7"/>
      <c r="B36" s="12"/>
      <c r="C36" s="21" t="s">
        <v>11</v>
      </c>
      <c r="D36" s="103" t="s">
        <v>162</v>
      </c>
      <c r="E36" s="103"/>
      <c r="F36" s="162">
        <v>30000000</v>
      </c>
      <c r="G36" s="162"/>
      <c r="H36" s="162"/>
      <c r="I36" s="162"/>
      <c r="J36" s="8" t="s">
        <v>163</v>
      </c>
      <c r="K36" s="8"/>
      <c r="Q36" s="10"/>
    </row>
    <row r="37" spans="1:17">
      <c r="A37" s="7"/>
      <c r="B37" s="12"/>
      <c r="C37" s="21" t="s">
        <v>31</v>
      </c>
      <c r="D37" s="103" t="s">
        <v>122</v>
      </c>
      <c r="E37" s="103"/>
      <c r="F37" s="162">
        <f>+F36/12</f>
        <v>2500000</v>
      </c>
      <c r="G37" s="162"/>
      <c r="H37" s="162"/>
      <c r="I37" s="162"/>
      <c r="J37" s="8" t="s">
        <v>42</v>
      </c>
      <c r="K37" s="8"/>
      <c r="Q37" s="10"/>
    </row>
    <row r="38" spans="1:17">
      <c r="A38" s="7"/>
      <c r="B38" s="12"/>
      <c r="C38" s="8"/>
      <c r="D38" s="8"/>
      <c r="E38" s="8"/>
      <c r="F38" s="34"/>
      <c r="G38" s="34"/>
      <c r="H38" s="34"/>
      <c r="I38" s="34"/>
      <c r="J38" s="8"/>
      <c r="K38" s="8"/>
      <c r="Q38" s="10"/>
    </row>
    <row r="39" spans="1:17">
      <c r="A39" s="7"/>
      <c r="B39" s="12"/>
      <c r="C39" s="104" t="s">
        <v>43</v>
      </c>
      <c r="D39" s="104"/>
      <c r="E39" s="104" t="s">
        <v>44</v>
      </c>
      <c r="F39" s="104"/>
      <c r="G39" s="104"/>
      <c r="H39" s="163" t="s">
        <v>45</v>
      </c>
      <c r="I39" s="163"/>
      <c r="J39" s="163"/>
      <c r="K39" s="104" t="s">
        <v>46</v>
      </c>
      <c r="L39" s="104"/>
      <c r="M39" s="104"/>
      <c r="N39" s="104" t="s">
        <v>47</v>
      </c>
      <c r="O39" s="104"/>
      <c r="P39" s="104"/>
      <c r="Q39" s="10"/>
    </row>
    <row r="40" spans="1:17">
      <c r="A40" s="7"/>
      <c r="B40" s="12"/>
      <c r="C40" s="128" t="s">
        <v>48</v>
      </c>
      <c r="D40" s="128"/>
      <c r="E40" s="159">
        <f>V2</f>
        <v>0</v>
      </c>
      <c r="F40" s="159"/>
      <c r="G40" s="159"/>
      <c r="H40" s="159">
        <f>X2</f>
        <v>0</v>
      </c>
      <c r="I40" s="159"/>
      <c r="J40" s="159"/>
      <c r="K40" s="159">
        <v>0</v>
      </c>
      <c r="L40" s="159">
        <v>9496.6536712150737</v>
      </c>
      <c r="M40" s="159">
        <v>9496.6536712150737</v>
      </c>
      <c r="N40" s="160">
        <f>E40+H40+K40</f>
        <v>0</v>
      </c>
      <c r="O40" s="160"/>
      <c r="P40" s="160"/>
      <c r="Q40" s="10"/>
    </row>
    <row r="41" spans="1:17">
      <c r="A41" s="7"/>
      <c r="B41" s="12"/>
      <c r="C41" s="128" t="s">
        <v>49</v>
      </c>
      <c r="D41" s="128"/>
      <c r="E41" s="134" t="s">
        <v>50</v>
      </c>
      <c r="F41" s="135"/>
      <c r="G41" s="136"/>
      <c r="H41" s="172" t="s">
        <v>142</v>
      </c>
      <c r="I41" s="173"/>
      <c r="J41" s="174"/>
      <c r="K41" s="146"/>
      <c r="L41" s="147"/>
      <c r="M41" s="148"/>
      <c r="N41" s="152"/>
      <c r="O41" s="153"/>
      <c r="P41" s="154"/>
      <c r="Q41" s="10"/>
    </row>
    <row r="42" spans="1:17">
      <c r="A42" s="7"/>
      <c r="B42" s="12"/>
      <c r="C42" s="128"/>
      <c r="D42" s="128"/>
      <c r="E42" s="137"/>
      <c r="F42" s="138"/>
      <c r="G42" s="139"/>
      <c r="H42" s="175"/>
      <c r="I42" s="176"/>
      <c r="J42" s="177"/>
      <c r="K42" s="149"/>
      <c r="L42" s="150"/>
      <c r="M42" s="151"/>
      <c r="N42" s="155"/>
      <c r="O42" s="156"/>
      <c r="P42" s="157"/>
      <c r="Q42" s="10"/>
    </row>
    <row r="43" spans="1:17">
      <c r="A43" s="36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37"/>
    </row>
    <row r="44" spans="1:17">
      <c r="A44" s="36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7"/>
    </row>
    <row r="45" spans="1:17">
      <c r="A45" s="7"/>
      <c r="B45" s="8"/>
      <c r="C45" s="9" t="s">
        <v>31</v>
      </c>
      <c r="D45" s="112" t="s">
        <v>123</v>
      </c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0"/>
    </row>
    <row r="46" spans="1:17">
      <c r="A46" s="7"/>
      <c r="B46" s="8"/>
      <c r="C46" s="33" t="s">
        <v>35</v>
      </c>
      <c r="D46" s="106" t="s">
        <v>52</v>
      </c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25"/>
    </row>
    <row r="47" spans="1:17">
      <c r="A47" s="7"/>
      <c r="B47" s="8"/>
      <c r="C47" s="21" t="s">
        <v>37</v>
      </c>
      <c r="D47" s="106" t="s">
        <v>53</v>
      </c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25"/>
    </row>
    <row r="48" spans="1:17">
      <c r="A48" s="7"/>
      <c r="B48" s="8"/>
      <c r="C48" s="21" t="s">
        <v>54</v>
      </c>
      <c r="D48" s="106" t="s">
        <v>55</v>
      </c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25"/>
    </row>
    <row r="49" spans="1:17">
      <c r="A49" s="7"/>
      <c r="B49" s="8"/>
      <c r="C49" s="21" t="s">
        <v>56</v>
      </c>
      <c r="D49" s="106" t="s">
        <v>57</v>
      </c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25"/>
    </row>
    <row r="50" spans="1:17">
      <c r="A50" s="7"/>
      <c r="B50" s="8"/>
      <c r="C50" s="17"/>
      <c r="D50" s="106" t="s">
        <v>58</v>
      </c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25"/>
    </row>
    <row r="51" spans="1:17">
      <c r="A51" s="7"/>
      <c r="B51" s="8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5"/>
    </row>
    <row r="52" spans="1:17">
      <c r="A52" s="7"/>
      <c r="B52" s="12" t="s">
        <v>59</v>
      </c>
      <c r="C52" s="40"/>
      <c r="D52" s="40"/>
      <c r="E52" s="40"/>
      <c r="F52" s="40"/>
      <c r="G52" s="40"/>
      <c r="H52" s="40"/>
      <c r="I52" s="40"/>
      <c r="J52" s="40"/>
      <c r="K52" s="40"/>
      <c r="Q52" s="10"/>
    </row>
    <row r="53" spans="1:17">
      <c r="A53" s="7"/>
      <c r="C53" s="21" t="s">
        <v>6</v>
      </c>
      <c r="D53" s="114" t="s">
        <v>124</v>
      </c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25"/>
    </row>
    <row r="54" spans="1:17">
      <c r="A54" s="7"/>
      <c r="B54" s="8"/>
      <c r="C54" s="21" t="s">
        <v>11</v>
      </c>
      <c r="D54" s="106" t="s">
        <v>61</v>
      </c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"/>
    </row>
    <row r="55" spans="1:17">
      <c r="A55" s="7"/>
      <c r="B55" s="8"/>
      <c r="C55" s="9" t="s">
        <v>62</v>
      </c>
      <c r="D55" s="102" t="s">
        <v>125</v>
      </c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"/>
    </row>
    <row r="56" spans="1:17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Q56" s="10"/>
    </row>
    <row r="57" spans="1:17">
      <c r="A57" s="7"/>
      <c r="B57" s="12" t="s">
        <v>64</v>
      </c>
      <c r="C57" s="8"/>
      <c r="D57" s="8"/>
      <c r="E57" s="8"/>
      <c r="F57" s="8"/>
      <c r="G57" s="8"/>
      <c r="H57" s="8"/>
      <c r="I57" s="8"/>
      <c r="J57" s="8"/>
      <c r="K57" s="8"/>
      <c r="Q57" s="10"/>
    </row>
    <row r="58" spans="1:17">
      <c r="A58" s="7"/>
      <c r="C58" s="21" t="s">
        <v>6</v>
      </c>
      <c r="D58" s="103" t="s">
        <v>65</v>
      </c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"/>
    </row>
    <row r="59" spans="1:17">
      <c r="A59" s="7"/>
      <c r="C59" s="21"/>
      <c r="D59" s="24" t="s">
        <v>66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10"/>
    </row>
    <row r="60" spans="1:17">
      <c r="A60" s="7"/>
      <c r="B60" s="8"/>
      <c r="C60" s="21" t="s">
        <v>11</v>
      </c>
      <c r="D60" s="106" t="s">
        <v>67</v>
      </c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"/>
    </row>
    <row r="61" spans="1:17">
      <c r="A61" s="7"/>
      <c r="B61" s="8"/>
      <c r="C61" s="21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10"/>
    </row>
    <row r="62" spans="1:17">
      <c r="A62" s="7"/>
      <c r="B62" s="12" t="s">
        <v>68</v>
      </c>
      <c r="C62" s="8"/>
      <c r="D62" s="8"/>
      <c r="E62" s="8"/>
      <c r="F62" s="8"/>
      <c r="G62" s="8"/>
      <c r="H62" s="8"/>
      <c r="I62" s="8"/>
      <c r="J62" s="8"/>
      <c r="K62" s="8"/>
      <c r="Q62" s="10"/>
    </row>
    <row r="63" spans="1:17">
      <c r="A63" s="7"/>
      <c r="C63" s="21" t="s">
        <v>6</v>
      </c>
      <c r="D63" s="106" t="s">
        <v>69</v>
      </c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"/>
    </row>
    <row r="64" spans="1:17">
      <c r="A64" s="7"/>
      <c r="C64" s="21"/>
      <c r="D64" s="106" t="s">
        <v>70</v>
      </c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"/>
    </row>
    <row r="65" spans="1:17">
      <c r="A65" s="7"/>
      <c r="C65" s="21"/>
      <c r="D65" s="106" t="s">
        <v>71</v>
      </c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"/>
    </row>
    <row r="66" spans="1:17">
      <c r="A66" s="7"/>
      <c r="C66" s="29"/>
      <c r="D66" s="32"/>
      <c r="E66" s="32"/>
      <c r="F66" s="32"/>
      <c r="G66" s="32"/>
      <c r="H66" s="32"/>
      <c r="I66" s="32"/>
      <c r="J66" s="32"/>
      <c r="K66" s="32"/>
      <c r="L66" s="110" t="s">
        <v>34</v>
      </c>
      <c r="M66" s="110"/>
      <c r="N66" s="110"/>
      <c r="O66" s="110"/>
      <c r="P66" s="110"/>
      <c r="Q66" s="10"/>
    </row>
    <row r="67" spans="1:17">
      <c r="A67" s="42"/>
      <c r="B67" s="43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5"/>
    </row>
    <row r="68" spans="1:17">
      <c r="A68" s="7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10"/>
    </row>
    <row r="69" spans="1:17">
      <c r="A69" s="7"/>
      <c r="B69" s="12" t="s">
        <v>126</v>
      </c>
      <c r="C69" s="8"/>
      <c r="D69" s="8"/>
      <c r="E69" s="40"/>
      <c r="F69" s="40"/>
      <c r="G69" s="40"/>
      <c r="H69" s="8"/>
      <c r="I69" s="8"/>
      <c r="J69" s="8"/>
      <c r="K69" s="8"/>
      <c r="Q69" s="10"/>
    </row>
    <row r="70" spans="1:17">
      <c r="A70" s="7"/>
      <c r="C70" s="9" t="s">
        <v>6</v>
      </c>
      <c r="D70" s="102" t="s">
        <v>127</v>
      </c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"/>
    </row>
    <row r="71" spans="1:17">
      <c r="A71" s="7"/>
      <c r="B71" s="8"/>
      <c r="C71" s="46"/>
      <c r="D71" s="103" t="s">
        <v>128</v>
      </c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"/>
    </row>
    <row r="72" spans="1:17">
      <c r="A72" s="7"/>
      <c r="B72" s="8"/>
      <c r="C72" s="46"/>
      <c r="D72" s="103" t="s">
        <v>75</v>
      </c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"/>
    </row>
    <row r="73" spans="1:17">
      <c r="A73" s="7"/>
      <c r="B73" s="8"/>
      <c r="C73" s="46"/>
      <c r="D73" s="103" t="s">
        <v>76</v>
      </c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"/>
    </row>
    <row r="74" spans="1:17">
      <c r="A74" s="7"/>
      <c r="B74" s="8"/>
      <c r="C74" s="46"/>
      <c r="D74" s="103" t="s">
        <v>77</v>
      </c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"/>
    </row>
    <row r="75" spans="1:17">
      <c r="A75" s="7"/>
      <c r="B75" s="8"/>
      <c r="C75" s="46"/>
      <c r="D75" s="103" t="s">
        <v>78</v>
      </c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"/>
    </row>
    <row r="76" spans="1:17">
      <c r="A76" s="7"/>
      <c r="B76" s="8"/>
      <c r="C76" s="46"/>
      <c r="D76" s="103" t="s">
        <v>79</v>
      </c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"/>
    </row>
    <row r="77" spans="1:17">
      <c r="A77" s="7"/>
      <c r="B77" s="8"/>
      <c r="C77" s="57" t="s">
        <v>11</v>
      </c>
      <c r="D77" s="114" t="s">
        <v>129</v>
      </c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"/>
    </row>
    <row r="78" spans="1:17" ht="28.5" customHeight="1">
      <c r="A78" s="7"/>
      <c r="B78" s="8"/>
      <c r="C78" s="57" t="s">
        <v>31</v>
      </c>
      <c r="D78" s="171" t="s">
        <v>130</v>
      </c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0"/>
    </row>
    <row r="79" spans="1:17" ht="25.5" customHeight="1">
      <c r="A79" s="7"/>
      <c r="B79" s="8"/>
      <c r="C79" s="57" t="s">
        <v>84</v>
      </c>
      <c r="D79" s="171" t="s">
        <v>131</v>
      </c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0"/>
    </row>
    <row r="80" spans="1:17">
      <c r="A80" s="7"/>
      <c r="B80" s="8"/>
      <c r="C80" s="21" t="s">
        <v>37</v>
      </c>
      <c r="D80" s="114" t="s">
        <v>132</v>
      </c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"/>
    </row>
    <row r="81" spans="1:17">
      <c r="A81" s="7"/>
      <c r="B81" s="8"/>
      <c r="C81" s="21"/>
      <c r="D81" s="106" t="s">
        <v>83</v>
      </c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"/>
    </row>
    <row r="82" spans="1:17">
      <c r="A82" s="7"/>
      <c r="B82" s="8"/>
      <c r="C82" s="21"/>
      <c r="D82" s="23"/>
      <c r="E82" s="23"/>
      <c r="F82" s="23"/>
      <c r="G82" s="23"/>
      <c r="H82" s="23"/>
      <c r="I82" s="23"/>
      <c r="J82" s="23"/>
      <c r="K82" s="23"/>
      <c r="L82" s="110" t="s">
        <v>34</v>
      </c>
      <c r="M82" s="110"/>
      <c r="N82" s="110"/>
      <c r="O82" s="110"/>
      <c r="P82" s="110"/>
      <c r="Q82" s="10"/>
    </row>
    <row r="83" spans="1:17">
      <c r="A83" s="7"/>
      <c r="B83" s="8"/>
      <c r="C83" s="21" t="s">
        <v>56</v>
      </c>
      <c r="D83" s="114" t="s">
        <v>133</v>
      </c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"/>
    </row>
    <row r="84" spans="1:17">
      <c r="A84" s="7"/>
      <c r="B84" s="8"/>
      <c r="C84" s="17"/>
      <c r="D84" s="106" t="s">
        <v>134</v>
      </c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"/>
    </row>
    <row r="85" spans="1:17">
      <c r="A85" s="7"/>
      <c r="B85" s="8"/>
      <c r="C85" s="17"/>
      <c r="D85" s="17"/>
      <c r="E85" s="17"/>
      <c r="F85" s="17"/>
      <c r="G85" s="17"/>
      <c r="H85" s="17"/>
      <c r="I85" s="17"/>
      <c r="J85" s="17"/>
      <c r="K85" s="17"/>
      <c r="L85" s="110" t="s">
        <v>34</v>
      </c>
      <c r="M85" s="110"/>
      <c r="N85" s="110"/>
      <c r="O85" s="110"/>
      <c r="P85" s="110"/>
      <c r="Q85" s="10"/>
    </row>
    <row r="86" spans="1:17">
      <c r="A86" s="7"/>
      <c r="B86" s="8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10"/>
    </row>
    <row r="87" spans="1:17">
      <c r="A87" s="7"/>
      <c r="B87" s="12" t="s">
        <v>87</v>
      </c>
      <c r="C87" s="8"/>
      <c r="D87" s="8"/>
      <c r="E87" s="8"/>
      <c r="F87" s="8"/>
      <c r="G87" s="8"/>
      <c r="H87" s="8"/>
      <c r="I87" s="8"/>
      <c r="J87" s="8"/>
      <c r="K87" s="8"/>
      <c r="Q87" s="10"/>
    </row>
    <row r="88" spans="1:17">
      <c r="A88" s="7"/>
      <c r="C88" s="102" t="s">
        <v>88</v>
      </c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"/>
    </row>
    <row r="89" spans="1:17">
      <c r="A89" s="7"/>
      <c r="B89" s="8"/>
      <c r="C89" s="17"/>
      <c r="D89" s="106" t="s">
        <v>135</v>
      </c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"/>
    </row>
    <row r="90" spans="1:17">
      <c r="A90" s="7"/>
      <c r="B90" s="8"/>
      <c r="C90" s="17"/>
      <c r="D90" s="106" t="s">
        <v>136</v>
      </c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"/>
    </row>
    <row r="91" spans="1:17">
      <c r="A91" s="7"/>
      <c r="B91" s="8"/>
      <c r="C91" s="17"/>
      <c r="D91" s="106" t="s">
        <v>91</v>
      </c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"/>
    </row>
    <row r="92" spans="1:17">
      <c r="A92" s="7"/>
      <c r="B92" s="8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10"/>
    </row>
    <row r="93" spans="1:17">
      <c r="A93" s="7"/>
      <c r="B93" s="12" t="s">
        <v>92</v>
      </c>
      <c r="Q93" s="10"/>
    </row>
    <row r="94" spans="1:17">
      <c r="A94" s="7"/>
      <c r="C94" s="114" t="s">
        <v>137</v>
      </c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33"/>
    </row>
    <row r="95" spans="1:17">
      <c r="A95" s="7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7"/>
    </row>
    <row r="96" spans="1:17">
      <c r="A96" s="7"/>
      <c r="B96" s="12" t="s">
        <v>94</v>
      </c>
      <c r="D96" s="8"/>
      <c r="E96" s="8"/>
      <c r="F96" s="8"/>
      <c r="G96" s="8"/>
      <c r="H96" s="8"/>
      <c r="I96" s="8"/>
      <c r="J96" s="8"/>
      <c r="K96" s="8"/>
      <c r="Q96" s="10"/>
    </row>
    <row r="97" spans="1:17">
      <c r="A97" s="7"/>
      <c r="C97" s="13" t="s">
        <v>138</v>
      </c>
      <c r="D97" s="40"/>
      <c r="E97" s="40"/>
      <c r="F97" s="40"/>
      <c r="G97" s="40"/>
      <c r="H97" s="8"/>
      <c r="I97" s="8"/>
      <c r="J97" s="8"/>
      <c r="K97" s="8"/>
      <c r="Q97" s="10"/>
    </row>
    <row r="98" spans="1:17">
      <c r="A98" s="7"/>
      <c r="C98" s="13"/>
      <c r="D98" s="40"/>
      <c r="E98" s="40"/>
      <c r="F98" s="40"/>
      <c r="G98" s="40"/>
      <c r="H98" s="8"/>
      <c r="I98" s="8"/>
      <c r="J98" s="8"/>
      <c r="K98" s="8"/>
      <c r="Q98" s="10"/>
    </row>
    <row r="99" spans="1:17">
      <c r="A99" s="7"/>
      <c r="B99" s="12" t="s">
        <v>96</v>
      </c>
      <c r="Q99" s="10"/>
    </row>
    <row r="100" spans="1:17">
      <c r="A100" s="7"/>
      <c r="C100" s="106" t="s">
        <v>97</v>
      </c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"/>
    </row>
    <row r="101" spans="1:17">
      <c r="A101" s="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10"/>
    </row>
    <row r="102" spans="1:17">
      <c r="A102" s="7"/>
      <c r="B102" s="12" t="s">
        <v>139</v>
      </c>
      <c r="C102" s="48"/>
      <c r="D102" s="49"/>
      <c r="E102" s="49"/>
      <c r="F102" s="50"/>
      <c r="G102" s="50"/>
      <c r="H102" s="50"/>
      <c r="I102" s="50"/>
      <c r="J102" s="50"/>
      <c r="K102" s="50"/>
      <c r="L102" s="51"/>
      <c r="M102" s="52"/>
      <c r="N102" s="52"/>
      <c r="O102" s="52"/>
      <c r="P102" s="52"/>
      <c r="Q102" s="10"/>
    </row>
    <row r="103" spans="1:17">
      <c r="A103" s="7"/>
      <c r="B103" s="12"/>
      <c r="C103" s="48"/>
      <c r="D103" s="49"/>
      <c r="E103" s="49"/>
      <c r="F103" s="50"/>
      <c r="G103" s="50"/>
      <c r="H103" s="50"/>
      <c r="I103" s="50"/>
      <c r="J103" s="50"/>
      <c r="K103" s="50"/>
      <c r="L103" s="51"/>
      <c r="M103" s="52"/>
      <c r="N103" s="52"/>
      <c r="O103" s="52"/>
      <c r="P103" s="52"/>
      <c r="Q103" s="10"/>
    </row>
    <row r="104" spans="1:17">
      <c r="A104" s="128" t="s">
        <v>99</v>
      </c>
      <c r="B104" s="128"/>
      <c r="C104" s="128"/>
      <c r="D104" s="119" t="str">
        <f>LEFT(S2,4)</f>
        <v/>
      </c>
      <c r="E104" s="120"/>
      <c r="F104" s="121"/>
      <c r="G104" s="119" t="s">
        <v>100</v>
      </c>
      <c r="H104" s="121"/>
      <c r="I104" s="119"/>
      <c r="J104" s="120"/>
      <c r="K104" s="121"/>
      <c r="L104" s="119" t="s">
        <v>101</v>
      </c>
      <c r="M104" s="121"/>
      <c r="N104" s="122"/>
      <c r="O104" s="123"/>
      <c r="P104" s="123"/>
      <c r="Q104" s="124"/>
    </row>
    <row r="105" spans="1:17">
      <c r="A105" s="128" t="s">
        <v>102</v>
      </c>
      <c r="B105" s="128"/>
      <c r="C105" s="128"/>
      <c r="D105" s="119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1"/>
    </row>
    <row r="106" spans="1:17">
      <c r="A106" s="53"/>
      <c r="B106" s="11"/>
      <c r="C106" s="11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5"/>
    </row>
    <row r="107" spans="1:17">
      <c r="A107" s="125">
        <f ca="1">G11</f>
        <v>46247</v>
      </c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7"/>
    </row>
    <row r="108" spans="1:17">
      <c r="A108" s="7"/>
      <c r="B108" s="8"/>
      <c r="D108" s="8"/>
      <c r="E108" s="8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Q108" s="10"/>
    </row>
    <row r="109" spans="1:17">
      <c r="A109" s="7"/>
      <c r="B109" s="119" t="s">
        <v>140</v>
      </c>
      <c r="C109" s="120"/>
      <c r="D109" s="120"/>
      <c r="E109" s="120"/>
      <c r="F109" s="120"/>
      <c r="G109" s="120"/>
      <c r="H109" s="120"/>
      <c r="I109" s="121"/>
      <c r="J109" s="119" t="s">
        <v>141</v>
      </c>
      <c r="K109" s="120"/>
      <c r="L109" s="120"/>
      <c r="M109" s="120"/>
      <c r="N109" s="120"/>
      <c r="O109" s="120"/>
      <c r="P109" s="121"/>
      <c r="Q109" s="10"/>
    </row>
    <row r="110" spans="1:17">
      <c r="A110" s="7"/>
      <c r="B110" s="129" t="s">
        <v>105</v>
      </c>
      <c r="C110" s="130"/>
      <c r="D110" s="130"/>
      <c r="E110" s="130"/>
      <c r="F110" s="130"/>
      <c r="G110" s="131" t="s">
        <v>106</v>
      </c>
      <c r="H110" s="131"/>
      <c r="I110" s="132"/>
      <c r="J110" s="129" t="str">
        <f>D104</f>
        <v/>
      </c>
      <c r="K110" s="130"/>
      <c r="L110" s="130"/>
      <c r="M110" s="130"/>
      <c r="N110" s="131" t="s">
        <v>106</v>
      </c>
      <c r="O110" s="131"/>
      <c r="P110" s="132"/>
      <c r="Q110" s="10"/>
    </row>
    <row r="111" spans="1:17">
      <c r="A111" s="7"/>
      <c r="B111" s="8"/>
      <c r="C111" s="8"/>
      <c r="Q111" s="10"/>
    </row>
    <row r="112" spans="1:17">
      <c r="A112" s="7"/>
      <c r="B112" s="8"/>
      <c r="Q112" s="10"/>
    </row>
    <row r="113" spans="1:17">
      <c r="A113" s="7"/>
      <c r="B113" s="8"/>
      <c r="Q113" s="10"/>
    </row>
    <row r="114" spans="1:17">
      <c r="A114" s="42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5"/>
    </row>
  </sheetData>
  <mergeCells count="106">
    <mergeCell ref="A1:Q2"/>
    <mergeCell ref="H4:I4"/>
    <mergeCell ref="G7:L7"/>
    <mergeCell ref="G9:H9"/>
    <mergeCell ref="J9:K9"/>
    <mergeCell ref="D10:P10"/>
    <mergeCell ref="G11:H11"/>
    <mergeCell ref="J11:K11"/>
    <mergeCell ref="D19:P19"/>
    <mergeCell ref="D20:P20"/>
    <mergeCell ref="D21:P21"/>
    <mergeCell ref="C23:D23"/>
    <mergeCell ref="E23:G23"/>
    <mergeCell ref="H23:J23"/>
    <mergeCell ref="K23:P23"/>
    <mergeCell ref="C24:D24"/>
    <mergeCell ref="E24:G24"/>
    <mergeCell ref="H24:J24"/>
    <mergeCell ref="K24:M24"/>
    <mergeCell ref="N24:P24"/>
    <mergeCell ref="C25:D25"/>
    <mergeCell ref="E25:G25"/>
    <mergeCell ref="H25:J25"/>
    <mergeCell ref="K25:P25"/>
    <mergeCell ref="D35:F35"/>
    <mergeCell ref="G35:H35"/>
    <mergeCell ref="J35:K35"/>
    <mergeCell ref="L35:M35"/>
    <mergeCell ref="D37:E37"/>
    <mergeCell ref="F37:I37"/>
    <mergeCell ref="D36:E36"/>
    <mergeCell ref="F36:I36"/>
    <mergeCell ref="D27:P27"/>
    <mergeCell ref="D28:P28"/>
    <mergeCell ref="L29:P29"/>
    <mergeCell ref="D30:P30"/>
    <mergeCell ref="D31:P31"/>
    <mergeCell ref="L32:P32"/>
    <mergeCell ref="C39:D39"/>
    <mergeCell ref="E39:G39"/>
    <mergeCell ref="H39:J39"/>
    <mergeCell ref="K39:M39"/>
    <mergeCell ref="N39:P39"/>
    <mergeCell ref="C40:D40"/>
    <mergeCell ref="E40:G40"/>
    <mergeCell ref="H40:J40"/>
    <mergeCell ref="K40:M40"/>
    <mergeCell ref="N40:P40"/>
    <mergeCell ref="D45:P45"/>
    <mergeCell ref="D46:P46"/>
    <mergeCell ref="D47:P47"/>
    <mergeCell ref="D48:P48"/>
    <mergeCell ref="D49:P49"/>
    <mergeCell ref="D50:P50"/>
    <mergeCell ref="C41:D42"/>
    <mergeCell ref="E41:G42"/>
    <mergeCell ref="H41:J42"/>
    <mergeCell ref="K41:M42"/>
    <mergeCell ref="N41:P42"/>
    <mergeCell ref="B43:P43"/>
    <mergeCell ref="D64:P64"/>
    <mergeCell ref="D65:P65"/>
    <mergeCell ref="L66:P66"/>
    <mergeCell ref="D70:P70"/>
    <mergeCell ref="D71:P71"/>
    <mergeCell ref="D72:P72"/>
    <mergeCell ref="D53:P53"/>
    <mergeCell ref="D54:P54"/>
    <mergeCell ref="D55:P55"/>
    <mergeCell ref="D58:P58"/>
    <mergeCell ref="D60:P60"/>
    <mergeCell ref="D63:P63"/>
    <mergeCell ref="D79:P79"/>
    <mergeCell ref="D80:P80"/>
    <mergeCell ref="D81:P81"/>
    <mergeCell ref="L82:P82"/>
    <mergeCell ref="D83:P83"/>
    <mergeCell ref="D84:P84"/>
    <mergeCell ref="D73:P73"/>
    <mergeCell ref="D74:P74"/>
    <mergeCell ref="D75:P75"/>
    <mergeCell ref="D76:P76"/>
    <mergeCell ref="D77:P77"/>
    <mergeCell ref="D78:P78"/>
    <mergeCell ref="C100:P100"/>
    <mergeCell ref="A104:C104"/>
    <mergeCell ref="D104:F104"/>
    <mergeCell ref="G104:H104"/>
    <mergeCell ref="I104:K104"/>
    <mergeCell ref="L104:M104"/>
    <mergeCell ref="N104:Q104"/>
    <mergeCell ref="L85:P85"/>
    <mergeCell ref="C88:P88"/>
    <mergeCell ref="D89:P89"/>
    <mergeCell ref="D90:P90"/>
    <mergeCell ref="D91:P91"/>
    <mergeCell ref="C94:Q94"/>
    <mergeCell ref="A105:C105"/>
    <mergeCell ref="D105:Q105"/>
    <mergeCell ref="A107:Q107"/>
    <mergeCell ref="B109:I109"/>
    <mergeCell ref="J109:P109"/>
    <mergeCell ref="B110:F110"/>
    <mergeCell ref="G110:I110"/>
    <mergeCell ref="J110:M110"/>
    <mergeCell ref="N110:P110"/>
  </mergeCells>
  <phoneticPr fontId="3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D28F-152A-4505-8C5C-9ECB76107A37}">
  <dimension ref="A2:Q109"/>
  <sheetViews>
    <sheetView topLeftCell="A92" workbookViewId="0">
      <selection activeCell="S31" sqref="S31"/>
    </sheetView>
  </sheetViews>
  <sheetFormatPr defaultRowHeight="16.5"/>
  <cols>
    <col min="1" max="3" width="3.625" style="1" customWidth="1"/>
    <col min="4" max="9" width="7.625" style="1" customWidth="1"/>
    <col min="10" max="10" width="10.125" style="1" customWidth="1"/>
    <col min="11" max="16" width="7.625" style="1" customWidth="1"/>
    <col min="17" max="17" width="4.625" style="1" customWidth="1"/>
  </cols>
  <sheetData>
    <row r="2" spans="1:17">
      <c r="A2" s="91" t="s">
        <v>144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3"/>
    </row>
    <row r="3" spans="1:17">
      <c r="A3" s="94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6"/>
    </row>
    <row r="4" spans="1:17">
      <c r="A4" s="2"/>
      <c r="B4" s="3"/>
      <c r="C4" s="3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7">
      <c r="A5" s="7"/>
      <c r="B5" s="8" t="s">
        <v>145</v>
      </c>
      <c r="C5" s="8"/>
      <c r="D5" s="8"/>
      <c r="E5" s="8"/>
      <c r="F5" s="9"/>
      <c r="H5" s="58"/>
      <c r="I5" s="58"/>
      <c r="K5" s="187">
        <f>S3</f>
        <v>0</v>
      </c>
      <c r="L5" s="187"/>
      <c r="M5" s="8" t="s">
        <v>146</v>
      </c>
      <c r="Q5" s="10"/>
    </row>
    <row r="6" spans="1:17">
      <c r="A6" s="7"/>
      <c r="B6" s="8" t="s">
        <v>147</v>
      </c>
      <c r="D6" s="8"/>
      <c r="E6" s="8"/>
      <c r="F6" s="8"/>
      <c r="G6" s="8"/>
      <c r="H6" s="8"/>
      <c r="I6" s="8"/>
      <c r="J6" s="8"/>
      <c r="K6" s="8"/>
      <c r="Q6" s="10"/>
    </row>
    <row r="7" spans="1:17">
      <c r="A7" s="7"/>
      <c r="B7" s="8"/>
      <c r="D7" s="8"/>
      <c r="E7" s="8"/>
      <c r="F7" s="8"/>
      <c r="G7" s="8"/>
      <c r="H7" s="8"/>
      <c r="I7" s="8"/>
      <c r="J7" s="8"/>
      <c r="K7" s="8"/>
      <c r="Q7" s="10"/>
    </row>
    <row r="8" spans="1:17">
      <c r="A8" s="7"/>
      <c r="C8" s="8"/>
      <c r="D8" s="8"/>
      <c r="E8" s="8"/>
      <c r="F8" s="8"/>
      <c r="G8" s="98" t="s">
        <v>4</v>
      </c>
      <c r="H8" s="98"/>
      <c r="I8" s="98"/>
      <c r="J8" s="98"/>
      <c r="K8" s="98"/>
      <c r="L8" s="98"/>
      <c r="Q8" s="10"/>
    </row>
    <row r="9" spans="1:17">
      <c r="A9" s="7"/>
      <c r="B9" s="12" t="s">
        <v>5</v>
      </c>
      <c r="C9" s="8"/>
      <c r="D9" s="8"/>
      <c r="E9" s="8"/>
      <c r="F9" s="8"/>
      <c r="G9" s="8"/>
      <c r="H9" s="8"/>
      <c r="I9" s="8"/>
      <c r="J9" s="8"/>
      <c r="K9" s="8"/>
      <c r="Q9" s="10"/>
    </row>
    <row r="10" spans="1:17">
      <c r="A10" s="7"/>
      <c r="B10" s="8"/>
      <c r="C10" s="9" t="s">
        <v>6</v>
      </c>
      <c r="D10" s="13" t="s">
        <v>7</v>
      </c>
      <c r="E10" s="8"/>
      <c r="G10" s="99">
        <v>46204</v>
      </c>
      <c r="H10" s="99"/>
      <c r="I10" s="11" t="s">
        <v>8</v>
      </c>
      <c r="J10" s="188"/>
      <c r="K10" s="188"/>
      <c r="L10" s="15" t="s">
        <v>148</v>
      </c>
      <c r="M10" s="14"/>
      <c r="N10" s="15"/>
      <c r="O10" s="16"/>
      <c r="P10" s="16"/>
      <c r="Q10" s="10"/>
    </row>
    <row r="11" spans="1:17">
      <c r="A11" s="7"/>
      <c r="B11" s="8"/>
      <c r="C11" s="17"/>
      <c r="D11" s="90" t="s">
        <v>114</v>
      </c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18"/>
    </row>
    <row r="12" spans="1:17">
      <c r="A12" s="7"/>
      <c r="B12" s="8"/>
      <c r="C12" s="9" t="s">
        <v>11</v>
      </c>
      <c r="D12" s="13" t="s">
        <v>12</v>
      </c>
      <c r="E12" s="8"/>
      <c r="G12" s="186">
        <f>+G10</f>
        <v>46204</v>
      </c>
      <c r="H12" s="186"/>
      <c r="I12" s="11" t="s">
        <v>8</v>
      </c>
      <c r="J12" s="186">
        <f>+G10+365-1</f>
        <v>46568</v>
      </c>
      <c r="K12" s="186"/>
      <c r="L12" s="8" t="s">
        <v>13</v>
      </c>
      <c r="M12" s="19"/>
      <c r="N12" s="8"/>
      <c r="Q12" s="10"/>
    </row>
    <row r="13" spans="1:17">
      <c r="A13" s="7"/>
      <c r="B13" s="8"/>
      <c r="C13" s="8"/>
      <c r="D13" s="20" t="s">
        <v>14</v>
      </c>
      <c r="E13" s="8"/>
      <c r="F13" s="8"/>
      <c r="G13" s="8"/>
      <c r="H13" s="8"/>
      <c r="I13" s="8"/>
      <c r="J13" s="8"/>
      <c r="K13" s="8"/>
      <c r="Q13" s="10"/>
    </row>
    <row r="14" spans="1:17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Q14" s="10"/>
    </row>
    <row r="15" spans="1:17">
      <c r="A15" s="7"/>
      <c r="B15" s="12" t="s">
        <v>15</v>
      </c>
      <c r="C15" s="8"/>
      <c r="D15" s="8"/>
      <c r="E15" s="8"/>
      <c r="F15" s="8"/>
      <c r="G15" s="8"/>
      <c r="H15" s="8"/>
      <c r="I15" s="8"/>
      <c r="J15" s="8"/>
      <c r="K15" s="8"/>
      <c r="Q15" s="10"/>
    </row>
    <row r="16" spans="1:17">
      <c r="A16" s="7"/>
      <c r="B16" s="12"/>
      <c r="C16" s="21" t="s">
        <v>6</v>
      </c>
      <c r="D16" s="8" t="s">
        <v>16</v>
      </c>
      <c r="E16" s="8"/>
      <c r="G16" s="22" t="s">
        <v>107</v>
      </c>
      <c r="H16" s="22"/>
      <c r="I16" s="8" t="s">
        <v>17</v>
      </c>
      <c r="J16" s="22" t="s">
        <v>108</v>
      </c>
      <c r="K16" s="8"/>
      <c r="L16" s="8" t="s">
        <v>18</v>
      </c>
      <c r="M16" s="22"/>
      <c r="N16" s="22"/>
      <c r="O16" s="8"/>
      <c r="Q16" s="10"/>
    </row>
    <row r="17" spans="1:17">
      <c r="A17" s="7"/>
      <c r="B17" s="8"/>
      <c r="C17" s="21" t="s">
        <v>11</v>
      </c>
      <c r="D17" s="8" t="s">
        <v>19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0"/>
    </row>
    <row r="18" spans="1:17">
      <c r="A18" s="7"/>
      <c r="B18" s="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10"/>
    </row>
    <row r="19" spans="1:17">
      <c r="A19" s="7"/>
      <c r="B19" s="12" t="s">
        <v>149</v>
      </c>
      <c r="C19" s="8"/>
      <c r="D19" s="8"/>
      <c r="E19" s="8"/>
      <c r="F19" s="8"/>
      <c r="G19" s="8"/>
      <c r="H19" s="8"/>
      <c r="I19" s="8"/>
      <c r="J19" s="8"/>
      <c r="K19" s="8"/>
      <c r="Q19" s="10"/>
    </row>
    <row r="20" spans="1:17">
      <c r="A20" s="7"/>
      <c r="B20" s="12"/>
      <c r="C20" s="21" t="s">
        <v>6</v>
      </c>
      <c r="D20" s="103" t="s">
        <v>150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"/>
    </row>
    <row r="21" spans="1:17">
      <c r="A21" s="7"/>
      <c r="B21" s="12"/>
      <c r="C21" s="21" t="s">
        <v>11</v>
      </c>
      <c r="D21" s="103" t="s">
        <v>22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25"/>
    </row>
    <row r="22" spans="1:17">
      <c r="A22" s="7"/>
      <c r="B22" s="12"/>
      <c r="C22" s="17"/>
      <c r="D22" s="106" t="s">
        <v>23</v>
      </c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"/>
    </row>
    <row r="23" spans="1:17">
      <c r="A23" s="7"/>
      <c r="B23" s="1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10"/>
    </row>
    <row r="24" spans="1:17">
      <c r="A24" s="7"/>
      <c r="B24" s="12"/>
      <c r="C24" s="58"/>
      <c r="D24" s="104" t="s">
        <v>151</v>
      </c>
      <c r="E24" s="104"/>
      <c r="F24" s="104"/>
      <c r="G24" s="105" t="s">
        <v>26</v>
      </c>
      <c r="H24" s="105"/>
      <c r="I24" s="105"/>
      <c r="J24" s="105" t="s">
        <v>27</v>
      </c>
      <c r="K24" s="105"/>
      <c r="L24" s="105"/>
      <c r="M24" s="58"/>
      <c r="N24" s="58"/>
      <c r="O24" s="58"/>
      <c r="P24" s="58"/>
      <c r="Q24" s="26"/>
    </row>
    <row r="25" spans="1:17">
      <c r="A25" s="7"/>
      <c r="B25" s="12"/>
      <c r="C25" s="58"/>
      <c r="D25" s="107">
        <v>0.375</v>
      </c>
      <c r="E25" s="107"/>
      <c r="F25" s="107"/>
      <c r="G25" s="108">
        <v>0.75</v>
      </c>
      <c r="H25" s="108"/>
      <c r="I25" s="108"/>
      <c r="J25" s="109" t="s">
        <v>29</v>
      </c>
      <c r="K25" s="109"/>
      <c r="L25" s="109"/>
      <c r="M25" s="58"/>
      <c r="N25" s="58"/>
      <c r="O25" s="58"/>
      <c r="P25" s="58"/>
      <c r="Q25" s="10"/>
    </row>
    <row r="26" spans="1:17">
      <c r="A26" s="7"/>
      <c r="B26" s="12"/>
      <c r="C26" s="23"/>
      <c r="D26" s="27"/>
      <c r="E26" s="28"/>
      <c r="F26" s="28"/>
      <c r="G26" s="27"/>
      <c r="H26" s="28"/>
      <c r="I26" s="28"/>
      <c r="J26" s="28"/>
      <c r="K26" s="28"/>
      <c r="L26" s="28"/>
      <c r="M26" s="28"/>
      <c r="N26" s="28"/>
      <c r="O26" s="29"/>
      <c r="P26" s="29"/>
      <c r="Q26" s="10"/>
    </row>
    <row r="27" spans="1:17">
      <c r="A27" s="7"/>
      <c r="B27" s="12"/>
      <c r="C27" s="9" t="s">
        <v>31</v>
      </c>
      <c r="D27" s="102" t="s">
        <v>32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25"/>
    </row>
    <row r="28" spans="1:17">
      <c r="A28" s="7"/>
      <c r="B28" s="12"/>
      <c r="C28" s="17"/>
      <c r="D28" s="106" t="s">
        <v>33</v>
      </c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31"/>
    </row>
    <row r="29" spans="1:17">
      <c r="A29" s="7"/>
      <c r="B29" s="12"/>
      <c r="C29" s="29"/>
      <c r="D29" s="32"/>
      <c r="E29" s="32"/>
      <c r="F29" s="32"/>
      <c r="G29" s="32"/>
      <c r="H29" s="32"/>
      <c r="I29" s="32"/>
      <c r="J29" s="32"/>
      <c r="K29" s="32"/>
      <c r="L29" s="110" t="s">
        <v>34</v>
      </c>
      <c r="M29" s="110"/>
      <c r="N29" s="110"/>
      <c r="O29" s="110"/>
      <c r="P29" s="110"/>
      <c r="Q29" s="31"/>
    </row>
    <row r="30" spans="1:17">
      <c r="A30" s="7"/>
      <c r="B30" s="12"/>
      <c r="C30" s="33" t="s">
        <v>35</v>
      </c>
      <c r="D30" s="106" t="s">
        <v>36</v>
      </c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"/>
    </row>
    <row r="31" spans="1:17">
      <c r="A31" s="7"/>
      <c r="B31" s="12"/>
      <c r="C31" s="21" t="s">
        <v>37</v>
      </c>
      <c r="D31" s="106" t="s">
        <v>38</v>
      </c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"/>
    </row>
    <row r="32" spans="1:17">
      <c r="A32" s="7"/>
      <c r="B32" s="12"/>
      <c r="C32" s="32"/>
      <c r="D32" s="32"/>
      <c r="E32" s="32"/>
      <c r="F32" s="32"/>
      <c r="G32" s="32"/>
      <c r="H32" s="32"/>
      <c r="I32" s="32"/>
      <c r="J32" s="32"/>
      <c r="K32" s="32"/>
      <c r="L32" s="110" t="s">
        <v>34</v>
      </c>
      <c r="M32" s="110"/>
      <c r="N32" s="110"/>
      <c r="O32" s="110"/>
      <c r="P32" s="110"/>
      <c r="Q32" s="31"/>
    </row>
    <row r="33" spans="1:17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Q33" s="10"/>
    </row>
    <row r="34" spans="1:17">
      <c r="A34" s="7"/>
      <c r="B34" s="12" t="s">
        <v>39</v>
      </c>
      <c r="C34" s="8"/>
      <c r="D34" s="8"/>
      <c r="E34" s="8"/>
      <c r="F34" s="8"/>
      <c r="G34" s="8"/>
      <c r="H34" s="8"/>
      <c r="I34" s="8"/>
      <c r="J34" s="8"/>
      <c r="K34" s="8"/>
      <c r="Q34" s="10"/>
    </row>
    <row r="35" spans="1:17">
      <c r="A35" s="7"/>
      <c r="B35" s="12"/>
      <c r="C35" s="21" t="s">
        <v>6</v>
      </c>
      <c r="D35" s="103" t="s">
        <v>152</v>
      </c>
      <c r="E35" s="103"/>
      <c r="F35" s="103"/>
      <c r="G35" s="186">
        <f>G12</f>
        <v>46204</v>
      </c>
      <c r="H35" s="186"/>
      <c r="I35" s="11" t="s">
        <v>8</v>
      </c>
      <c r="J35" s="186">
        <f>J12</f>
        <v>46568</v>
      </c>
      <c r="K35" s="186"/>
      <c r="L35" s="178" t="s">
        <v>121</v>
      </c>
      <c r="M35" s="178"/>
      <c r="Q35" s="10"/>
    </row>
    <row r="36" spans="1:17">
      <c r="A36" s="7"/>
      <c r="B36" s="12"/>
      <c r="C36" s="21" t="s">
        <v>11</v>
      </c>
      <c r="D36" s="103" t="s">
        <v>162</v>
      </c>
      <c r="E36" s="103"/>
      <c r="F36" s="162">
        <v>30000000</v>
      </c>
      <c r="G36" s="162"/>
      <c r="H36" s="162"/>
      <c r="I36" s="162"/>
      <c r="J36" s="8" t="s">
        <v>163</v>
      </c>
      <c r="K36" s="8"/>
      <c r="Q36" s="10"/>
    </row>
    <row r="37" spans="1:17">
      <c r="A37" s="7"/>
      <c r="B37" s="12"/>
      <c r="C37" s="21" t="s">
        <v>31</v>
      </c>
      <c r="D37" s="103" t="s">
        <v>122</v>
      </c>
      <c r="E37" s="103"/>
      <c r="F37" s="162">
        <f>+F36/12</f>
        <v>2500000</v>
      </c>
      <c r="G37" s="162"/>
      <c r="H37" s="162"/>
      <c r="I37" s="162"/>
      <c r="J37" s="8" t="s">
        <v>42</v>
      </c>
      <c r="K37" s="8"/>
      <c r="Q37" s="10"/>
    </row>
    <row r="38" spans="1:17">
      <c r="A38" s="7"/>
      <c r="B38" s="12"/>
      <c r="C38" s="8"/>
      <c r="D38" s="8"/>
      <c r="E38" s="8"/>
      <c r="F38" s="34"/>
      <c r="G38" s="34"/>
      <c r="H38" s="34"/>
      <c r="I38" s="34"/>
      <c r="J38" s="8"/>
      <c r="K38" s="8"/>
      <c r="Q38" s="10"/>
    </row>
    <row r="39" spans="1:17">
      <c r="A39" s="7"/>
      <c r="B39" s="12"/>
      <c r="C39" s="104" t="s">
        <v>43</v>
      </c>
      <c r="D39" s="104"/>
      <c r="E39" s="104" t="s">
        <v>44</v>
      </c>
      <c r="F39" s="104"/>
      <c r="G39" s="104"/>
      <c r="H39" s="163" t="s">
        <v>45</v>
      </c>
      <c r="I39" s="163"/>
      <c r="J39" s="163"/>
      <c r="K39" s="104" t="s">
        <v>46</v>
      </c>
      <c r="L39" s="104"/>
      <c r="M39" s="104"/>
      <c r="N39" s="104" t="s">
        <v>47</v>
      </c>
      <c r="O39" s="104"/>
      <c r="P39" s="104"/>
      <c r="Q39" s="10"/>
    </row>
    <row r="40" spans="1:17">
      <c r="A40" s="7"/>
      <c r="B40" s="12"/>
      <c r="C40" s="128" t="s">
        <v>48</v>
      </c>
      <c r="D40" s="128"/>
      <c r="E40" s="159">
        <f>V3</f>
        <v>0</v>
      </c>
      <c r="F40" s="159"/>
      <c r="G40" s="159"/>
      <c r="H40" s="159">
        <f>X3</f>
        <v>0</v>
      </c>
      <c r="I40" s="159"/>
      <c r="J40" s="159"/>
      <c r="K40" s="159">
        <v>0</v>
      </c>
      <c r="L40" s="159">
        <v>9496.6536712150737</v>
      </c>
      <c r="M40" s="159">
        <v>9496.6536712150737</v>
      </c>
      <c r="N40" s="160">
        <f>E40+H40+K40</f>
        <v>0</v>
      </c>
      <c r="O40" s="160"/>
      <c r="P40" s="160"/>
      <c r="Q40" s="10"/>
    </row>
    <row r="41" spans="1:17">
      <c r="A41" s="7"/>
      <c r="B41" s="12"/>
      <c r="C41" s="128" t="s">
        <v>49</v>
      </c>
      <c r="D41" s="128"/>
      <c r="E41" s="146" t="s">
        <v>153</v>
      </c>
      <c r="F41" s="147"/>
      <c r="G41" s="148"/>
      <c r="H41" s="180" t="s">
        <v>142</v>
      </c>
      <c r="I41" s="181"/>
      <c r="J41" s="182"/>
      <c r="K41" s="146"/>
      <c r="L41" s="147"/>
      <c r="M41" s="148"/>
      <c r="N41" s="152"/>
      <c r="O41" s="153"/>
      <c r="P41" s="154"/>
      <c r="Q41" s="10"/>
    </row>
    <row r="42" spans="1:17">
      <c r="A42" s="7"/>
      <c r="B42" s="12"/>
      <c r="C42" s="128"/>
      <c r="D42" s="128"/>
      <c r="E42" s="149"/>
      <c r="F42" s="150"/>
      <c r="G42" s="151"/>
      <c r="H42" s="183"/>
      <c r="I42" s="184"/>
      <c r="J42" s="185"/>
      <c r="K42" s="149"/>
      <c r="L42" s="150"/>
      <c r="M42" s="151"/>
      <c r="N42" s="155"/>
      <c r="O42" s="156"/>
      <c r="P42" s="157"/>
      <c r="Q42" s="10"/>
    </row>
    <row r="43" spans="1:17">
      <c r="A43" s="36"/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7"/>
    </row>
    <row r="44" spans="1:17">
      <c r="A44" s="7"/>
      <c r="B44" s="8"/>
      <c r="C44" s="9" t="s">
        <v>31</v>
      </c>
      <c r="D44" s="112" t="s">
        <v>51</v>
      </c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0"/>
    </row>
    <row r="45" spans="1:17">
      <c r="A45" s="7"/>
      <c r="B45" s="8"/>
      <c r="C45" s="33" t="s">
        <v>35</v>
      </c>
      <c r="D45" s="106" t="s">
        <v>52</v>
      </c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25"/>
    </row>
    <row r="46" spans="1:17">
      <c r="A46" s="7"/>
      <c r="B46" s="8"/>
      <c r="C46" s="21" t="s">
        <v>37</v>
      </c>
      <c r="D46" s="106" t="s">
        <v>53</v>
      </c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25"/>
    </row>
    <row r="47" spans="1:17">
      <c r="A47" s="7"/>
      <c r="B47" s="8"/>
      <c r="C47" s="21" t="s">
        <v>54</v>
      </c>
      <c r="D47" s="106" t="s">
        <v>55</v>
      </c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25"/>
    </row>
    <row r="48" spans="1:17">
      <c r="A48" s="7"/>
      <c r="B48" s="8"/>
      <c r="C48" s="21" t="s">
        <v>56</v>
      </c>
      <c r="D48" s="106" t="s">
        <v>57</v>
      </c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25"/>
    </row>
    <row r="49" spans="1:17">
      <c r="A49" s="7"/>
      <c r="B49" s="8"/>
      <c r="C49" s="17"/>
      <c r="D49" s="106" t="s">
        <v>58</v>
      </c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25"/>
    </row>
    <row r="50" spans="1:17">
      <c r="A50" s="7"/>
      <c r="B50" s="8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5"/>
    </row>
    <row r="51" spans="1:17">
      <c r="A51" s="7"/>
      <c r="B51" s="12" t="s">
        <v>154</v>
      </c>
      <c r="C51" s="40"/>
      <c r="D51" s="40"/>
      <c r="E51" s="40"/>
      <c r="F51" s="40"/>
      <c r="G51" s="40"/>
      <c r="H51" s="40"/>
      <c r="I51" s="40"/>
      <c r="J51" s="40"/>
      <c r="K51" s="40"/>
      <c r="Q51" s="10"/>
    </row>
    <row r="52" spans="1:17">
      <c r="A52" s="7"/>
      <c r="C52" s="21" t="s">
        <v>6</v>
      </c>
      <c r="D52" s="114" t="s">
        <v>155</v>
      </c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25"/>
    </row>
    <row r="53" spans="1:17">
      <c r="A53" s="7"/>
      <c r="B53" s="8"/>
      <c r="C53" s="21" t="s">
        <v>11</v>
      </c>
      <c r="D53" s="106" t="s">
        <v>156</v>
      </c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"/>
    </row>
    <row r="54" spans="1:17">
      <c r="A54" s="7"/>
      <c r="B54" s="8"/>
      <c r="C54" s="9" t="s">
        <v>62</v>
      </c>
      <c r="D54" s="102" t="s">
        <v>63</v>
      </c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"/>
    </row>
    <row r="55" spans="1:17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Q55" s="10"/>
    </row>
    <row r="56" spans="1:17">
      <c r="A56" s="7"/>
      <c r="B56" s="12" t="s">
        <v>64</v>
      </c>
      <c r="C56" s="8"/>
      <c r="D56" s="8"/>
      <c r="E56" s="8"/>
      <c r="F56" s="8"/>
      <c r="G56" s="8"/>
      <c r="H56" s="8"/>
      <c r="I56" s="8"/>
      <c r="J56" s="8"/>
      <c r="K56" s="8"/>
      <c r="Q56" s="10"/>
    </row>
    <row r="57" spans="1:17">
      <c r="A57" s="7"/>
      <c r="C57" s="21" t="s">
        <v>6</v>
      </c>
      <c r="D57" s="103" t="s">
        <v>157</v>
      </c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"/>
    </row>
    <row r="58" spans="1:17">
      <c r="A58" s="7"/>
      <c r="B58" s="8"/>
      <c r="C58" s="21" t="s">
        <v>11</v>
      </c>
      <c r="D58" s="106" t="s">
        <v>158</v>
      </c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"/>
    </row>
    <row r="59" spans="1:17">
      <c r="A59" s="7"/>
      <c r="B59" s="8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10"/>
    </row>
    <row r="60" spans="1:17">
      <c r="A60" s="7"/>
      <c r="B60" s="12" t="s">
        <v>68</v>
      </c>
      <c r="C60" s="8"/>
      <c r="D60" s="8"/>
      <c r="E60" s="8"/>
      <c r="F60" s="8"/>
      <c r="G60" s="8"/>
      <c r="H60" s="8"/>
      <c r="I60" s="8"/>
      <c r="J60" s="8"/>
      <c r="K60" s="8"/>
      <c r="Q60" s="10"/>
    </row>
    <row r="61" spans="1:17">
      <c r="A61" s="7"/>
      <c r="C61" s="21"/>
      <c r="D61" s="106" t="s">
        <v>159</v>
      </c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"/>
    </row>
    <row r="62" spans="1:17">
      <c r="A62" s="7"/>
      <c r="C62" s="29"/>
      <c r="D62" s="32"/>
      <c r="E62" s="32"/>
      <c r="F62" s="32"/>
      <c r="G62" s="32"/>
      <c r="H62" s="32"/>
      <c r="I62" s="32"/>
      <c r="J62" s="32"/>
      <c r="K62" s="32"/>
      <c r="L62" s="110" t="s">
        <v>34</v>
      </c>
      <c r="M62" s="110"/>
      <c r="N62" s="110"/>
      <c r="O62" s="110"/>
      <c r="P62" s="110"/>
      <c r="Q62" s="10"/>
    </row>
    <row r="63" spans="1:17">
      <c r="A63" s="42"/>
      <c r="B63" s="4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5"/>
    </row>
    <row r="64" spans="1:17">
      <c r="A64" s="7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10"/>
    </row>
    <row r="65" spans="1:17">
      <c r="A65" s="7"/>
      <c r="B65" s="12" t="s">
        <v>72</v>
      </c>
      <c r="C65" s="8"/>
      <c r="D65" s="8"/>
      <c r="E65" s="40"/>
      <c r="F65" s="40"/>
      <c r="G65" s="40"/>
      <c r="H65" s="8"/>
      <c r="I65" s="8"/>
      <c r="J65" s="8"/>
      <c r="K65" s="8"/>
      <c r="Q65" s="10"/>
    </row>
    <row r="66" spans="1:17">
      <c r="A66" s="7"/>
      <c r="C66" s="9" t="s">
        <v>6</v>
      </c>
      <c r="D66" s="103" t="s">
        <v>73</v>
      </c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"/>
    </row>
    <row r="67" spans="1:17">
      <c r="A67" s="7"/>
      <c r="B67" s="8"/>
      <c r="C67" s="46"/>
      <c r="D67" s="103" t="s">
        <v>74</v>
      </c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"/>
    </row>
    <row r="68" spans="1:17">
      <c r="A68" s="7"/>
      <c r="B68" s="8"/>
      <c r="C68" s="46"/>
      <c r="D68" s="103" t="s">
        <v>75</v>
      </c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"/>
    </row>
    <row r="69" spans="1:17">
      <c r="A69" s="7"/>
      <c r="B69" s="8"/>
      <c r="C69" s="46"/>
      <c r="D69" s="103" t="s">
        <v>76</v>
      </c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"/>
    </row>
    <row r="70" spans="1:17">
      <c r="A70" s="7"/>
      <c r="B70" s="8"/>
      <c r="C70" s="46"/>
      <c r="D70" s="103" t="s">
        <v>77</v>
      </c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"/>
    </row>
    <row r="71" spans="1:17">
      <c r="A71" s="7"/>
      <c r="B71" s="8"/>
      <c r="C71" s="46"/>
      <c r="D71" s="103" t="s">
        <v>78</v>
      </c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"/>
    </row>
    <row r="72" spans="1:17">
      <c r="A72" s="7"/>
      <c r="B72" s="8"/>
      <c r="C72" s="46"/>
      <c r="D72" s="103" t="s">
        <v>79</v>
      </c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"/>
    </row>
    <row r="73" spans="1:17">
      <c r="A73" s="7"/>
      <c r="B73" s="8"/>
      <c r="C73" s="21" t="s">
        <v>11</v>
      </c>
      <c r="D73" s="106" t="s">
        <v>80</v>
      </c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"/>
    </row>
    <row r="74" spans="1:17">
      <c r="A74" s="7"/>
      <c r="B74" s="8"/>
      <c r="C74" s="21"/>
      <c r="D74" s="106" t="s">
        <v>81</v>
      </c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"/>
    </row>
    <row r="75" spans="1:17">
      <c r="A75" s="7"/>
      <c r="B75" s="8"/>
      <c r="C75" s="21" t="s">
        <v>31</v>
      </c>
      <c r="D75" s="106" t="s">
        <v>82</v>
      </c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"/>
    </row>
    <row r="76" spans="1:17">
      <c r="A76" s="7"/>
      <c r="B76" s="8"/>
      <c r="C76" s="21"/>
      <c r="D76" s="106" t="s">
        <v>83</v>
      </c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"/>
    </row>
    <row r="77" spans="1:17">
      <c r="A77" s="7"/>
      <c r="B77" s="8"/>
      <c r="C77" s="21"/>
      <c r="D77" s="23"/>
      <c r="E77" s="23"/>
      <c r="F77" s="23"/>
      <c r="G77" s="23"/>
      <c r="H77" s="23"/>
      <c r="I77" s="23"/>
      <c r="J77" s="23"/>
      <c r="K77" s="23"/>
      <c r="L77" s="110" t="s">
        <v>34</v>
      </c>
      <c r="M77" s="110"/>
      <c r="N77" s="110"/>
      <c r="O77" s="110"/>
      <c r="P77" s="110"/>
      <c r="Q77" s="10"/>
    </row>
    <row r="78" spans="1:17">
      <c r="A78" s="7"/>
      <c r="B78" s="8"/>
      <c r="C78" s="21" t="s">
        <v>84</v>
      </c>
      <c r="D78" s="114" t="s">
        <v>85</v>
      </c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"/>
    </row>
    <row r="79" spans="1:17">
      <c r="A79" s="7"/>
      <c r="B79" s="8"/>
      <c r="C79" s="17"/>
      <c r="D79" s="106" t="s">
        <v>86</v>
      </c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"/>
    </row>
    <row r="80" spans="1:17">
      <c r="A80" s="7"/>
      <c r="B80" s="8"/>
      <c r="C80" s="17"/>
      <c r="D80" s="17"/>
      <c r="E80" s="17"/>
      <c r="F80" s="17"/>
      <c r="G80" s="17"/>
      <c r="H80" s="17"/>
      <c r="I80" s="17"/>
      <c r="J80" s="17"/>
      <c r="K80" s="17"/>
      <c r="L80" s="110" t="s">
        <v>34</v>
      </c>
      <c r="M80" s="110"/>
      <c r="N80" s="110"/>
      <c r="O80" s="110"/>
      <c r="P80" s="110"/>
      <c r="Q80" s="10"/>
    </row>
    <row r="81" spans="1:17">
      <c r="A81" s="7"/>
      <c r="B81" s="8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10"/>
    </row>
    <row r="82" spans="1:17">
      <c r="A82" s="7"/>
      <c r="B82" s="12" t="s">
        <v>87</v>
      </c>
      <c r="C82" s="8"/>
      <c r="D82" s="8"/>
      <c r="E82" s="8"/>
      <c r="F82" s="8"/>
      <c r="G82" s="8"/>
      <c r="H82" s="8"/>
      <c r="I82" s="8"/>
      <c r="J82" s="8"/>
      <c r="K82" s="8"/>
      <c r="Q82" s="10"/>
    </row>
    <row r="83" spans="1:17">
      <c r="A83" s="7"/>
      <c r="C83" s="102" t="s">
        <v>88</v>
      </c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"/>
    </row>
    <row r="84" spans="1:17">
      <c r="A84" s="7"/>
      <c r="B84" s="8"/>
      <c r="C84" s="17"/>
      <c r="D84" s="106" t="s">
        <v>89</v>
      </c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"/>
    </row>
    <row r="85" spans="1:17">
      <c r="A85" s="7"/>
      <c r="B85" s="8"/>
      <c r="C85" s="17"/>
      <c r="D85" s="106" t="s">
        <v>90</v>
      </c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"/>
    </row>
    <row r="86" spans="1:17">
      <c r="A86" s="7"/>
      <c r="B86" s="8"/>
      <c r="C86" s="17"/>
      <c r="D86" s="106" t="s">
        <v>91</v>
      </c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"/>
    </row>
    <row r="87" spans="1:17">
      <c r="A87" s="7"/>
      <c r="B87" s="8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10"/>
    </row>
    <row r="88" spans="1:17">
      <c r="A88" s="7"/>
      <c r="B88" s="12" t="s">
        <v>92</v>
      </c>
      <c r="Q88" s="10"/>
    </row>
    <row r="89" spans="1:17">
      <c r="A89" s="7"/>
      <c r="C89" s="114" t="s">
        <v>93</v>
      </c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33"/>
    </row>
    <row r="90" spans="1:17">
      <c r="A90" s="7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7"/>
    </row>
    <row r="91" spans="1:17">
      <c r="A91" s="7"/>
      <c r="B91" s="12" t="s">
        <v>94</v>
      </c>
      <c r="D91" s="8"/>
      <c r="E91" s="8"/>
      <c r="F91" s="8"/>
      <c r="G91" s="8"/>
      <c r="H91" s="8"/>
      <c r="I91" s="8"/>
      <c r="J91" s="8"/>
      <c r="K91" s="8"/>
      <c r="Q91" s="10"/>
    </row>
    <row r="92" spans="1:17">
      <c r="A92" s="7"/>
      <c r="C92" s="13" t="s">
        <v>95</v>
      </c>
      <c r="D92" s="40"/>
      <c r="E92" s="40"/>
      <c r="F92" s="40"/>
      <c r="G92" s="40"/>
      <c r="H92" s="8"/>
      <c r="I92" s="8"/>
      <c r="J92" s="8"/>
      <c r="K92" s="8"/>
      <c r="Q92" s="10"/>
    </row>
    <row r="93" spans="1:17">
      <c r="A93" s="7"/>
      <c r="C93" s="13"/>
      <c r="D93" s="40"/>
      <c r="E93" s="40"/>
      <c r="F93" s="40"/>
      <c r="G93" s="40"/>
      <c r="H93" s="8"/>
      <c r="I93" s="8"/>
      <c r="J93" s="8"/>
      <c r="K93" s="8"/>
      <c r="Q93" s="10"/>
    </row>
    <row r="94" spans="1:17">
      <c r="A94" s="7"/>
      <c r="B94" s="12" t="s">
        <v>96</v>
      </c>
      <c r="Q94" s="10"/>
    </row>
    <row r="95" spans="1:17">
      <c r="A95" s="7"/>
      <c r="C95" s="106" t="s">
        <v>97</v>
      </c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"/>
    </row>
    <row r="96" spans="1:17">
      <c r="A96" s="7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10"/>
    </row>
    <row r="97" spans="1:17">
      <c r="A97" s="7"/>
      <c r="B97" s="12" t="s">
        <v>98</v>
      </c>
      <c r="C97" s="48"/>
      <c r="D97" s="49"/>
      <c r="E97" s="49"/>
      <c r="F97" s="50"/>
      <c r="G97" s="50"/>
      <c r="H97" s="50"/>
      <c r="I97" s="50"/>
      <c r="J97" s="50"/>
      <c r="K97" s="50"/>
      <c r="L97" s="51"/>
      <c r="M97" s="52"/>
      <c r="N97" s="52"/>
      <c r="O97" s="52"/>
      <c r="P97" s="52"/>
      <c r="Q97" s="10"/>
    </row>
    <row r="98" spans="1:17">
      <c r="A98" s="7"/>
      <c r="B98" s="12"/>
      <c r="C98" s="48"/>
      <c r="D98" s="49"/>
      <c r="E98" s="49"/>
      <c r="F98" s="50"/>
      <c r="G98" s="50"/>
      <c r="H98" s="50"/>
      <c r="I98" s="50"/>
      <c r="J98" s="50"/>
      <c r="K98" s="50"/>
      <c r="L98" s="51"/>
      <c r="M98" s="52"/>
      <c r="N98" s="52"/>
      <c r="O98" s="52"/>
      <c r="P98" s="52"/>
      <c r="Q98" s="10"/>
    </row>
    <row r="99" spans="1:17">
      <c r="A99" s="128" t="s">
        <v>99</v>
      </c>
      <c r="B99" s="128"/>
      <c r="C99" s="128"/>
      <c r="D99" s="119" t="str">
        <f>LEFT(S3,4)</f>
        <v/>
      </c>
      <c r="E99" s="120"/>
      <c r="F99" s="121"/>
      <c r="G99" s="119" t="s">
        <v>100</v>
      </c>
      <c r="H99" s="121"/>
      <c r="I99" s="119"/>
      <c r="J99" s="120"/>
      <c r="K99" s="121"/>
      <c r="L99" s="119" t="s">
        <v>101</v>
      </c>
      <c r="M99" s="121"/>
      <c r="N99" s="122"/>
      <c r="O99" s="123"/>
      <c r="P99" s="123"/>
      <c r="Q99" s="124"/>
    </row>
    <row r="100" spans="1:17">
      <c r="A100" s="128" t="s">
        <v>102</v>
      </c>
      <c r="B100" s="128"/>
      <c r="C100" s="128"/>
      <c r="D100" s="119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1"/>
    </row>
    <row r="101" spans="1:17">
      <c r="A101" s="53"/>
      <c r="B101" s="11"/>
      <c r="C101" s="11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5"/>
    </row>
    <row r="102" spans="1:17">
      <c r="A102" s="125">
        <f>G12</f>
        <v>46204</v>
      </c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7"/>
    </row>
    <row r="103" spans="1:17">
      <c r="A103" s="7"/>
      <c r="B103" s="8"/>
      <c r="D103" s="8"/>
      <c r="E103" s="8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Q103" s="10"/>
    </row>
    <row r="104" spans="1:17">
      <c r="A104" s="7"/>
      <c r="B104" s="119" t="s">
        <v>160</v>
      </c>
      <c r="C104" s="120"/>
      <c r="D104" s="120"/>
      <c r="E104" s="120"/>
      <c r="F104" s="120"/>
      <c r="G104" s="120"/>
      <c r="H104" s="120"/>
      <c r="I104" s="121"/>
      <c r="J104" s="119" t="s">
        <v>104</v>
      </c>
      <c r="K104" s="120"/>
      <c r="L104" s="120"/>
      <c r="M104" s="120"/>
      <c r="N104" s="120"/>
      <c r="O104" s="120"/>
      <c r="P104" s="121"/>
      <c r="Q104" s="10"/>
    </row>
    <row r="105" spans="1:17">
      <c r="A105" s="7"/>
      <c r="B105" s="129" t="s">
        <v>161</v>
      </c>
      <c r="C105" s="130"/>
      <c r="D105" s="130"/>
      <c r="E105" s="130"/>
      <c r="F105" s="130"/>
      <c r="G105" s="131" t="s">
        <v>106</v>
      </c>
      <c r="H105" s="131"/>
      <c r="I105" s="132"/>
      <c r="J105" s="129" t="str">
        <f>D99</f>
        <v/>
      </c>
      <c r="K105" s="130"/>
      <c r="L105" s="130"/>
      <c r="M105" s="130"/>
      <c r="N105" s="131" t="s">
        <v>106</v>
      </c>
      <c r="O105" s="131"/>
      <c r="P105" s="132"/>
      <c r="Q105" s="10"/>
    </row>
    <row r="106" spans="1:17">
      <c r="A106" s="7"/>
      <c r="B106" s="8"/>
      <c r="C106" s="8"/>
      <c r="Q106" s="10"/>
    </row>
    <row r="107" spans="1:17">
      <c r="A107" s="7"/>
      <c r="B107" s="8"/>
      <c r="Q107" s="10"/>
    </row>
    <row r="108" spans="1:17">
      <c r="A108" s="7"/>
      <c r="B108" s="8"/>
      <c r="Q108" s="10"/>
    </row>
    <row r="109" spans="1:17">
      <c r="A109" s="42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5"/>
    </row>
  </sheetData>
  <mergeCells count="95">
    <mergeCell ref="D11:P11"/>
    <mergeCell ref="A2:Q3"/>
    <mergeCell ref="K5:L5"/>
    <mergeCell ref="G8:L8"/>
    <mergeCell ref="G10:H10"/>
    <mergeCell ref="J10:K10"/>
    <mergeCell ref="L29:P29"/>
    <mergeCell ref="G12:H12"/>
    <mergeCell ref="J12:K12"/>
    <mergeCell ref="D20:P20"/>
    <mergeCell ref="D21:P21"/>
    <mergeCell ref="D22:P22"/>
    <mergeCell ref="D24:F24"/>
    <mergeCell ref="G24:I24"/>
    <mergeCell ref="J24:L24"/>
    <mergeCell ref="D25:F25"/>
    <mergeCell ref="G25:I25"/>
    <mergeCell ref="J25:L25"/>
    <mergeCell ref="D27:P27"/>
    <mergeCell ref="D28:P28"/>
    <mergeCell ref="D30:P30"/>
    <mergeCell ref="D31:P31"/>
    <mergeCell ref="L32:P32"/>
    <mergeCell ref="D35:F35"/>
    <mergeCell ref="G35:H35"/>
    <mergeCell ref="J35:K35"/>
    <mergeCell ref="L35:M35"/>
    <mergeCell ref="D37:E37"/>
    <mergeCell ref="F37:I37"/>
    <mergeCell ref="C39:D39"/>
    <mergeCell ref="E39:G39"/>
    <mergeCell ref="H39:J39"/>
    <mergeCell ref="N39:P39"/>
    <mergeCell ref="C40:D40"/>
    <mergeCell ref="E40:G40"/>
    <mergeCell ref="H40:J40"/>
    <mergeCell ref="K40:M40"/>
    <mergeCell ref="N40:P40"/>
    <mergeCell ref="K39:M39"/>
    <mergeCell ref="D52:P52"/>
    <mergeCell ref="C41:D42"/>
    <mergeCell ref="E41:G42"/>
    <mergeCell ref="H41:J42"/>
    <mergeCell ref="K41:M42"/>
    <mergeCell ref="N41:P42"/>
    <mergeCell ref="D44:P44"/>
    <mergeCell ref="D45:P45"/>
    <mergeCell ref="D46:P46"/>
    <mergeCell ref="D47:P47"/>
    <mergeCell ref="D48:P48"/>
    <mergeCell ref="D49:P49"/>
    <mergeCell ref="D71:P71"/>
    <mergeCell ref="D53:P53"/>
    <mergeCell ref="D54:P54"/>
    <mergeCell ref="D57:P57"/>
    <mergeCell ref="D58:P58"/>
    <mergeCell ref="D61:P61"/>
    <mergeCell ref="L62:P62"/>
    <mergeCell ref="D66:P66"/>
    <mergeCell ref="D67:P67"/>
    <mergeCell ref="D68:P68"/>
    <mergeCell ref="D69:P69"/>
    <mergeCell ref="D70:P70"/>
    <mergeCell ref="L80:P80"/>
    <mergeCell ref="C83:P83"/>
    <mergeCell ref="D84:P84"/>
    <mergeCell ref="D85:P85"/>
    <mergeCell ref="D72:P72"/>
    <mergeCell ref="D73:P73"/>
    <mergeCell ref="D74:P74"/>
    <mergeCell ref="D75:P75"/>
    <mergeCell ref="D76:P76"/>
    <mergeCell ref="L77:P77"/>
    <mergeCell ref="B104:I104"/>
    <mergeCell ref="J104:P104"/>
    <mergeCell ref="B105:F105"/>
    <mergeCell ref="G105:I105"/>
    <mergeCell ref="J105:M105"/>
    <mergeCell ref="N105:P105"/>
    <mergeCell ref="D36:E36"/>
    <mergeCell ref="F36:I36"/>
    <mergeCell ref="A100:C100"/>
    <mergeCell ref="D100:Q100"/>
    <mergeCell ref="A102:Q102"/>
    <mergeCell ref="D86:P86"/>
    <mergeCell ref="C89:Q89"/>
    <mergeCell ref="C95:P95"/>
    <mergeCell ref="A99:C99"/>
    <mergeCell ref="D99:F99"/>
    <mergeCell ref="G99:H99"/>
    <mergeCell ref="I99:K99"/>
    <mergeCell ref="L99:M99"/>
    <mergeCell ref="N99:Q99"/>
    <mergeCell ref="D78:P78"/>
    <mergeCell ref="D79:P79"/>
  </mergeCells>
  <phoneticPr fontId="3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FCBA-13ED-4F14-A97A-5FB5367834F3}">
  <dimension ref="A1:R40"/>
  <sheetViews>
    <sheetView workbookViewId="0">
      <selection activeCell="O18" sqref="O18"/>
    </sheetView>
  </sheetViews>
  <sheetFormatPr defaultRowHeight="21" customHeight="1"/>
  <cols>
    <col min="1" max="1" width="11" style="66" customWidth="1"/>
    <col min="2" max="5" width="14" style="66" customWidth="1"/>
    <col min="6" max="6" width="10" style="66" customWidth="1"/>
    <col min="7" max="7" width="11.5" style="66" customWidth="1"/>
    <col min="8" max="8" width="10" style="66" customWidth="1"/>
    <col min="15" max="16" width="11.75" customWidth="1"/>
  </cols>
  <sheetData>
    <row r="1" spans="1:18" ht="21" customHeight="1">
      <c r="A1" s="214" t="s">
        <v>164</v>
      </c>
      <c r="B1" s="192"/>
      <c r="C1" s="192"/>
      <c r="D1" s="192"/>
      <c r="E1" s="192"/>
      <c r="F1" s="192"/>
      <c r="G1" s="192"/>
      <c r="H1" s="192"/>
      <c r="J1" s="66" t="s">
        <v>187</v>
      </c>
      <c r="K1" s="66" t="s">
        <v>188</v>
      </c>
      <c r="L1" s="66" t="s">
        <v>189</v>
      </c>
      <c r="M1" s="66" t="s">
        <v>190</v>
      </c>
      <c r="N1" s="66" t="s">
        <v>191</v>
      </c>
      <c r="O1" s="66" t="s">
        <v>192</v>
      </c>
      <c r="P1" s="66" t="s">
        <v>193</v>
      </c>
      <c r="Q1" s="66" t="s">
        <v>194</v>
      </c>
      <c r="R1" s="66"/>
    </row>
    <row r="2" spans="1:18" ht="21" customHeight="1">
      <c r="A2" s="215" t="str">
        <f>"일련번호 : "&amp;[1]출력설정!B7</f>
        <v>일련번호 : 80</v>
      </c>
      <c r="B2" s="192"/>
      <c r="C2" s="192"/>
      <c r="D2" s="192"/>
      <c r="E2" s="192"/>
      <c r="F2" s="192"/>
      <c r="G2" s="192"/>
      <c r="H2" s="192"/>
      <c r="J2" s="66" t="str">
        <f>[1]출력설정!B4</f>
        <v>(주)성원애드피아</v>
      </c>
      <c r="K2" s="66" t="str">
        <f>[1]출력설정!B5</f>
        <v>정대원</v>
      </c>
      <c r="L2" s="66" t="str">
        <f>[1]출력설정!B6</f>
        <v>서울 성동구 성수일로 80</v>
      </c>
      <c r="M2" s="66"/>
      <c r="N2" s="66" t="str">
        <f>IFERROR(INDEX([1]직원명부!$F$2:$F$97,MATCH([1]출력설정!$B$7,[1]직원명부!$B$2:$B$97,0)),"")</f>
        <v/>
      </c>
      <c r="O2" s="67">
        <f>IFERROR(INDEX([1]직원명부!$G$2:$G$97,MATCH([1]출력설정!$B$7,[1]직원명부!$B$2:$B$97,0)),"")</f>
        <v>46082</v>
      </c>
      <c r="P2" s="67">
        <f>IFERROR(INDEX([1]직원명부!$H$2:$H$97,MATCH([1]출력설정!$B$7,[1]직원명부!$B$2:$B$97,0)),"")</f>
        <v>46446</v>
      </c>
      <c r="Q2" s="66">
        <f>IFERROR(INDEX([1]직원명부!$I$2:$I$97,MATCH([1]출력설정!$B$7,[1]직원명부!$B$2:$B$97,0)),"")</f>
        <v>58000000</v>
      </c>
      <c r="R2" s="66"/>
    </row>
    <row r="3" spans="1:18" ht="21" customHeight="1">
      <c r="A3" s="216" t="s">
        <v>186</v>
      </c>
      <c r="B3" s="190"/>
      <c r="C3" s="190"/>
      <c r="D3" s="190"/>
      <c r="E3" s="190"/>
      <c r="F3" s="190"/>
      <c r="G3" s="190"/>
      <c r="H3" s="190"/>
    </row>
    <row r="4" spans="1:18" ht="21" customHeight="1">
      <c r="A4" s="190"/>
      <c r="B4" s="190"/>
      <c r="C4" s="190"/>
      <c r="D4" s="190"/>
      <c r="E4" s="190"/>
      <c r="F4" s="190"/>
      <c r="G4" s="190"/>
      <c r="H4" s="190"/>
    </row>
    <row r="5" spans="1:18" ht="21" customHeight="1">
      <c r="A5" s="195" t="s">
        <v>165</v>
      </c>
      <c r="B5" s="190"/>
      <c r="C5" s="190"/>
      <c r="D5" s="190"/>
      <c r="E5" s="190"/>
      <c r="F5" s="190"/>
      <c r="G5" s="190"/>
      <c r="H5" s="190"/>
    </row>
    <row r="6" spans="1:18" ht="21" customHeight="1">
      <c r="A6" s="189" t="str">
        <f>"연봉계약기간은 "&amp; TEXT(O2,"yyyy년 m월 d일") &amp; "부터 " &amp; TEXT(P2,"yyyy년 m월 d일") &amp; "까지로 한다. 연봉기간 만료 후 새로운 연봉계약이 체결되지 않은 경우에는 직전 연봉액 기준을 준용한다."</f>
        <v>연봉계약기간은 2026년 3월 1일부터 2027년 2월 28일까지로 한다. 연봉기간 만료 후 새로운 연봉계약이 체결되지 않은 경우에는 직전 연봉액 기준을 준용한다.</v>
      </c>
      <c r="B6" s="190"/>
      <c r="C6" s="190"/>
      <c r="D6" s="190"/>
      <c r="E6" s="190"/>
      <c r="F6" s="190"/>
      <c r="G6" s="190"/>
      <c r="H6" s="190"/>
    </row>
    <row r="7" spans="1:18" ht="21" customHeight="1">
      <c r="A7" s="190"/>
      <c r="B7" s="190"/>
      <c r="C7" s="190"/>
      <c r="D7" s="190"/>
      <c r="E7" s="190"/>
      <c r="F7" s="190"/>
      <c r="G7" s="190"/>
      <c r="H7" s="190"/>
    </row>
    <row r="8" spans="1:18" ht="21" customHeight="1">
      <c r="A8" s="195" t="s">
        <v>166</v>
      </c>
      <c r="B8" s="190"/>
      <c r="C8" s="190"/>
      <c r="D8" s="190"/>
      <c r="E8" s="190"/>
      <c r="F8" s="190"/>
      <c r="G8" s="190"/>
      <c r="H8" s="190"/>
    </row>
    <row r="9" spans="1:18" ht="21" customHeight="1">
      <c r="A9" s="194" t="str">
        <f>"① “을”의 임금형태는 연봉제로 하며, 연봉액은 "&amp;TEXT(Q2,"#,##0")&amp;"원으로 한다."</f>
        <v>① “을”의 임금형태는 연봉제로 하며, 연봉액은 58,000,000원으로 한다.</v>
      </c>
      <c r="B9" s="194"/>
      <c r="C9" s="194"/>
      <c r="D9" s="194"/>
      <c r="E9" s="194"/>
      <c r="F9" s="194"/>
      <c r="G9" s="194"/>
      <c r="H9" s="194"/>
    </row>
    <row r="10" spans="1:18" ht="21" customHeight="1">
      <c r="A10" s="194" t="str">
        <f>"② “을”의 월급여액은 "&amp;TEXT(IFERROR(INDEX([1]직원명부!$J$2:$J$97,MATCH([1]출력설정!$B$7,[1]직원명부!$B$2:$B$97,0)),0),"#,##0")&amp;"원으로 하며, 월급여의 구성항목은 다음과 같다."</f>
        <v>② “을”의 월급여액은 4,833,333원으로 하며, 월급여의 구성항목은 다음과 같다.</v>
      </c>
      <c r="B10" s="194"/>
      <c r="C10" s="194"/>
      <c r="D10" s="194"/>
      <c r="E10" s="194"/>
      <c r="F10" s="194"/>
      <c r="G10" s="194"/>
      <c r="H10" s="194"/>
    </row>
    <row r="11" spans="1:18" ht="21" customHeight="1">
      <c r="A11" s="60" t="s">
        <v>167</v>
      </c>
      <c r="B11" s="61" t="s">
        <v>168</v>
      </c>
      <c r="C11" s="61" t="s">
        <v>169</v>
      </c>
      <c r="D11" s="61" t="s">
        <v>170</v>
      </c>
      <c r="E11" s="61" t="s">
        <v>171</v>
      </c>
      <c r="F11" s="207" t="s">
        <v>172</v>
      </c>
      <c r="G11" s="207"/>
      <c r="H11" s="208"/>
    </row>
    <row r="12" spans="1:18" ht="21" customHeight="1">
      <c r="A12" s="62" t="str">
        <f>"금액"</f>
        <v>금액</v>
      </c>
      <c r="B12" s="63">
        <f>IFERROR(INDEX([1]직원명부!$K$2:$K$97,MATCH([1]출력설정!$B$7,[1]직원명부!$B$2:$B$97,0)),0)</f>
        <v>4000660.0660066004</v>
      </c>
      <c r="C12" s="63">
        <f>IFERROR(INDEX([1]직원명부!$L$2:$L$97,MATCH([1]출력설정!$B$7,[1]직원명부!$B$2:$B$97,0)),0)</f>
        <v>832673.26732673263</v>
      </c>
      <c r="D12" s="63">
        <f>IFERROR(INDEX([1]직원명부!$N$2:$N$97,MATCH([1]출력설정!$B$7,[1]직원명부!$B$2:$B$97,0)),0)</f>
        <v>0</v>
      </c>
      <c r="E12" s="63">
        <f>IFERROR(INDEX([1]직원명부!$P$2:$P$97,MATCH([1]출력설정!$B$7,[1]직원명부!$B$2:$B$97,0)),0)</f>
        <v>0</v>
      </c>
      <c r="F12" s="209">
        <f>SUM(B12:E12)</f>
        <v>4833333.333333333</v>
      </c>
      <c r="G12" s="210"/>
      <c r="H12" s="211"/>
    </row>
    <row r="13" spans="1:18" ht="21" customHeight="1">
      <c r="A13" s="64" t="str">
        <f>"산정식"</f>
        <v>산정식</v>
      </c>
      <c r="B13" s="65" t="str">
        <f>"월 209시간"</f>
        <v>월 209시간</v>
      </c>
      <c r="C13" s="65" t="str">
        <f>"월 "&amp;IFERROR(INDEX([1]직원명부!$M$2:$M$97,MATCH([1]출력설정!$B$7,[1]직원명부!$B$2:$B$97,0)),0)&amp;"시간 × 통상시급 × 150%"</f>
        <v>월 29시간 × 통상시급 × 150%</v>
      </c>
      <c r="D13" s="65" t="str">
        <f>"월 "&amp;IFERROR(INDEX([1]직원명부!$O$2:$O$97,MATCH([1]출력설정!$B$7,[1]직원명부!$B$2:$B$97,0)),0)&amp;"시간 × 통상시급 × 50%"</f>
        <v>월 시간 × 통상시급 × 50%</v>
      </c>
      <c r="E13" s="65" t="str">
        <f>"월 "&amp;IFERROR(INDEX([1]직원명부!$Q$2:$Q$97,MATCH([1]출력설정!$B$7,[1]직원명부!$B$2:$B$97,0)),0)&amp;"시간 × 통상시급 × 150%"</f>
        <v>월 시간 × 통상시급 × 150%</v>
      </c>
      <c r="F13" s="212"/>
      <c r="G13" s="212"/>
      <c r="H13" s="213"/>
    </row>
    <row r="14" spans="1:18" ht="27.75" customHeight="1">
      <c r="A14" s="193" t="s">
        <v>173</v>
      </c>
      <c r="B14" s="194"/>
      <c r="C14" s="194"/>
      <c r="D14" s="194"/>
      <c r="E14" s="194"/>
      <c r="F14" s="194"/>
      <c r="G14" s="194"/>
      <c r="H14" s="194"/>
    </row>
    <row r="15" spans="1:18" ht="21" customHeight="1">
      <c r="A15" s="193" t="s">
        <v>174</v>
      </c>
      <c r="B15" s="194"/>
      <c r="C15" s="194"/>
      <c r="D15" s="194"/>
      <c r="E15" s="194"/>
      <c r="F15" s="194"/>
      <c r="G15" s="194"/>
      <c r="H15" s="194"/>
    </row>
    <row r="16" spans="1:18" ht="21" customHeight="1">
      <c r="A16" s="193" t="s">
        <v>175</v>
      </c>
      <c r="B16" s="194"/>
      <c r="C16" s="194"/>
      <c r="D16" s="194"/>
      <c r="E16" s="194"/>
      <c r="F16" s="194"/>
      <c r="G16" s="194"/>
      <c r="H16" s="194"/>
    </row>
    <row r="17" spans="1:8" ht="21" customHeight="1">
      <c r="A17" s="193" t="s">
        <v>176</v>
      </c>
      <c r="B17" s="194"/>
      <c r="C17" s="194"/>
      <c r="D17" s="194"/>
      <c r="E17" s="194"/>
      <c r="F17" s="194"/>
      <c r="G17" s="194"/>
      <c r="H17" s="194"/>
    </row>
    <row r="18" spans="1:8" ht="21" customHeight="1">
      <c r="A18" s="195" t="s">
        <v>177</v>
      </c>
      <c r="B18" s="190"/>
      <c r="C18" s="190"/>
      <c r="D18" s="190"/>
      <c r="E18" s="190"/>
      <c r="F18" s="190"/>
      <c r="G18" s="190"/>
      <c r="H18" s="190"/>
    </row>
    <row r="19" spans="1:8" ht="21" customHeight="1">
      <c r="A19" s="193" t="s">
        <v>178</v>
      </c>
      <c r="B19" s="194"/>
      <c r="C19" s="194"/>
      <c r="D19" s="194"/>
      <c r="E19" s="194"/>
      <c r="F19" s="194"/>
      <c r="G19" s="194"/>
      <c r="H19" s="194"/>
    </row>
    <row r="20" spans="1:8" ht="21" customHeight="1">
      <c r="A20" s="193" t="s">
        <v>179</v>
      </c>
      <c r="B20" s="194"/>
      <c r="C20" s="194"/>
      <c r="D20" s="194"/>
      <c r="E20" s="194"/>
      <c r="F20" s="194"/>
      <c r="G20" s="194"/>
      <c r="H20" s="194"/>
    </row>
    <row r="21" spans="1:8" ht="21" customHeight="1">
      <c r="A21" s="193" t="s">
        <v>180</v>
      </c>
      <c r="B21" s="194"/>
      <c r="C21" s="194"/>
      <c r="D21" s="194"/>
      <c r="E21" s="194"/>
      <c r="F21" s="194"/>
      <c r="G21" s="194"/>
      <c r="H21" s="194"/>
    </row>
    <row r="22" spans="1:8" ht="21" customHeight="1">
      <c r="A22" s="195" t="s">
        <v>181</v>
      </c>
      <c r="B22" s="190"/>
      <c r="C22" s="190"/>
      <c r="D22" s="190"/>
      <c r="E22" s="190"/>
      <c r="F22" s="190"/>
      <c r="G22" s="190"/>
      <c r="H22" s="190"/>
    </row>
    <row r="23" spans="1:8" ht="21" customHeight="1">
      <c r="A23" s="193" t="s">
        <v>182</v>
      </c>
      <c r="B23" s="194"/>
      <c r="C23" s="194"/>
      <c r="D23" s="194"/>
      <c r="E23" s="194"/>
      <c r="F23" s="194"/>
      <c r="G23" s="194"/>
      <c r="H23" s="194"/>
    </row>
    <row r="24" spans="1:8" ht="21" customHeight="1">
      <c r="A24" s="193" t="s">
        <v>183</v>
      </c>
      <c r="B24" s="194"/>
      <c r="C24" s="194"/>
      <c r="D24" s="194"/>
      <c r="E24" s="194"/>
      <c r="F24" s="194"/>
      <c r="G24" s="194"/>
      <c r="H24" s="194"/>
    </row>
    <row r="25" spans="1:8" ht="21" customHeight="1">
      <c r="A25" s="196" t="str">
        <f ca="1">TEXT(TODAY(),"yyyy년 m월 d일")</f>
        <v>2026년 8월 13일</v>
      </c>
      <c r="B25" s="197"/>
      <c r="C25" s="197"/>
      <c r="D25" s="197"/>
      <c r="E25" s="197"/>
      <c r="F25" s="197"/>
      <c r="G25" s="197"/>
      <c r="H25" s="197"/>
    </row>
    <row r="26" spans="1:8" ht="21" customHeight="1">
      <c r="A26" s="198" t="str">
        <f>"(갑) "&amp;J2&amp;CHAR(10)&amp;"대표자  :  "&amp;K2&amp;"       (서명 또는 인)"&amp;CHAR(10)&amp;"주소 : "&amp;L2</f>
        <v>(갑) (주)성원애드피아
대표자  :  정대원       (서명 또는 인)
주소 : 서울 성동구 성수일로 80</v>
      </c>
      <c r="B26" s="199"/>
      <c r="C26" s="199"/>
      <c r="D26" s="199"/>
      <c r="E26" s="199" t="str">
        <f>"(을)"&amp;CHAR(10)&amp;"성명  :  "&amp;M2&amp;"        (서명 또는 인)"&amp;CHAR(10)&amp;"주소 : "&amp;N2</f>
        <v xml:space="preserve">(을)
성명  :          (서명 또는 인)
주소 : </v>
      </c>
      <c r="F26" s="199"/>
      <c r="G26" s="199"/>
      <c r="H26" s="204"/>
    </row>
    <row r="27" spans="1:8" ht="21" customHeight="1">
      <c r="A27" s="200"/>
      <c r="B27" s="201"/>
      <c r="C27" s="201"/>
      <c r="D27" s="201"/>
      <c r="E27" s="201"/>
      <c r="F27" s="201"/>
      <c r="G27" s="201"/>
      <c r="H27" s="205"/>
    </row>
    <row r="28" spans="1:8" ht="21" customHeight="1">
      <c r="A28" s="202"/>
      <c r="B28" s="203"/>
      <c r="C28" s="203"/>
      <c r="D28" s="203"/>
      <c r="E28" s="203"/>
      <c r="F28" s="203"/>
      <c r="G28" s="203"/>
      <c r="H28" s="206"/>
    </row>
    <row r="29" spans="1:8" ht="21" customHeight="1">
      <c r="A29" s="189" t="s">
        <v>184</v>
      </c>
      <c r="B29" s="190"/>
      <c r="C29" s="190"/>
      <c r="D29" s="190"/>
      <c r="E29" s="190"/>
      <c r="F29" s="190"/>
      <c r="G29" s="190"/>
      <c r="H29" s="190"/>
    </row>
    <row r="30" spans="1:8" ht="21" customHeight="1">
      <c r="A30" s="190"/>
      <c r="B30" s="190"/>
      <c r="C30" s="190"/>
      <c r="D30" s="190"/>
      <c r="E30" s="190"/>
      <c r="F30" s="190"/>
      <c r="G30" s="190"/>
      <c r="H30" s="190"/>
    </row>
    <row r="31" spans="1:8" ht="21" customHeight="1">
      <c r="A31" s="59"/>
      <c r="B31" s="59"/>
      <c r="C31" s="59"/>
      <c r="D31" s="59"/>
      <c r="E31" s="59"/>
      <c r="F31" s="59"/>
      <c r="G31" s="59"/>
      <c r="H31" s="59"/>
    </row>
    <row r="32" spans="1:8" ht="21" customHeight="1">
      <c r="A32" s="59"/>
      <c r="B32" s="59"/>
      <c r="C32" s="59"/>
      <c r="D32" s="59"/>
      <c r="E32" s="59"/>
      <c r="F32" s="59"/>
      <c r="G32" s="59"/>
      <c r="H32" s="59"/>
    </row>
    <row r="33" spans="1:8" ht="21" customHeight="1">
      <c r="A33" s="59"/>
      <c r="B33" s="59"/>
      <c r="C33" s="59"/>
      <c r="D33" s="59"/>
      <c r="E33" s="59"/>
      <c r="F33" s="59"/>
      <c r="G33" s="59"/>
      <c r="H33" s="59"/>
    </row>
    <row r="34" spans="1:8" ht="21" customHeight="1">
      <c r="A34" s="59"/>
      <c r="B34" s="59"/>
      <c r="C34" s="59"/>
      <c r="D34" s="59"/>
      <c r="E34" s="59"/>
      <c r="F34" s="59"/>
      <c r="G34" s="59"/>
      <c r="H34" s="59"/>
    </row>
    <row r="35" spans="1:8" ht="21" customHeight="1">
      <c r="A35" s="59"/>
      <c r="B35" s="59"/>
      <c r="C35" s="59"/>
      <c r="D35" s="59"/>
      <c r="E35" s="59"/>
      <c r="F35" s="59"/>
      <c r="G35" s="59"/>
      <c r="H35" s="59"/>
    </row>
    <row r="36" spans="1:8" ht="21" customHeight="1">
      <c r="A36" s="59"/>
      <c r="B36" s="59"/>
      <c r="C36" s="59"/>
      <c r="D36" s="59"/>
      <c r="E36" s="59"/>
      <c r="F36" s="59"/>
      <c r="G36" s="59"/>
      <c r="H36" s="59"/>
    </row>
    <row r="37" spans="1:8" ht="21" customHeight="1">
      <c r="A37" s="59"/>
      <c r="B37" s="59"/>
      <c r="C37" s="59"/>
      <c r="D37" s="59"/>
      <c r="E37" s="59"/>
      <c r="F37" s="59"/>
      <c r="G37" s="59"/>
      <c r="H37" s="59"/>
    </row>
    <row r="38" spans="1:8" ht="21" customHeight="1">
      <c r="A38" s="59"/>
      <c r="B38" s="59"/>
      <c r="C38" s="59"/>
      <c r="D38" s="59"/>
      <c r="E38" s="59"/>
      <c r="F38" s="59"/>
      <c r="G38" s="59"/>
      <c r="H38" s="59"/>
    </row>
    <row r="39" spans="1:8" ht="21" customHeight="1">
      <c r="A39" s="59"/>
      <c r="B39" s="59"/>
      <c r="C39" s="59"/>
      <c r="D39" s="59"/>
      <c r="E39" s="59"/>
      <c r="F39" s="59"/>
      <c r="G39" s="59"/>
      <c r="H39" s="59"/>
    </row>
    <row r="40" spans="1:8" ht="21" customHeight="1">
      <c r="A40" s="191" t="s">
        <v>185</v>
      </c>
      <c r="B40" s="192"/>
      <c r="C40" s="192"/>
      <c r="D40" s="192"/>
      <c r="E40" s="192"/>
      <c r="F40" s="192"/>
      <c r="G40" s="192"/>
      <c r="H40" s="192"/>
    </row>
  </sheetData>
  <mergeCells count="27">
    <mergeCell ref="A8:H8"/>
    <mergeCell ref="A1:H1"/>
    <mergeCell ref="A2:H2"/>
    <mergeCell ref="A3:H4"/>
    <mergeCell ref="A5:H5"/>
    <mergeCell ref="A6:H7"/>
    <mergeCell ref="A20:H20"/>
    <mergeCell ref="A9:H9"/>
    <mergeCell ref="A10:H10"/>
    <mergeCell ref="F11:H11"/>
    <mergeCell ref="F12:H12"/>
    <mergeCell ref="F13:H13"/>
    <mergeCell ref="A14:H14"/>
    <mergeCell ref="A15:H15"/>
    <mergeCell ref="A16:H16"/>
    <mergeCell ref="A17:H17"/>
    <mergeCell ref="A18:H18"/>
    <mergeCell ref="A19:H19"/>
    <mergeCell ref="A29:H30"/>
    <mergeCell ref="A40:H40"/>
    <mergeCell ref="A21:H21"/>
    <mergeCell ref="A22:H22"/>
    <mergeCell ref="A23:H23"/>
    <mergeCell ref="A24:H24"/>
    <mergeCell ref="A25:H25"/>
    <mergeCell ref="A26:D28"/>
    <mergeCell ref="E26:H28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E15F-B637-43DA-98EB-F79D9135943F}">
  <dimension ref="A2:S106"/>
  <sheetViews>
    <sheetView topLeftCell="A16" workbookViewId="0">
      <selection activeCell="Y35" sqref="Y35"/>
    </sheetView>
  </sheetViews>
  <sheetFormatPr defaultRowHeight="16.5"/>
  <cols>
    <col min="1" max="1" width="3.375" style="1" customWidth="1"/>
    <col min="2" max="4" width="3.625" style="1" customWidth="1"/>
    <col min="5" max="16" width="7.625" style="1" customWidth="1"/>
    <col min="17" max="17" width="11.625" style="1" customWidth="1"/>
    <col min="18" max="18" width="4.625" style="1" customWidth="1"/>
    <col min="19" max="19" width="3.875" style="1" customWidth="1"/>
  </cols>
  <sheetData>
    <row r="2" spans="2:18">
      <c r="B2" s="91" t="s">
        <v>195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3"/>
    </row>
    <row r="3" spans="2:18">
      <c r="B3" s="94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6"/>
    </row>
    <row r="4" spans="2:18">
      <c r="B4" s="2"/>
      <c r="C4" s="3"/>
      <c r="D4" s="3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5" spans="2:18">
      <c r="B5" s="7"/>
      <c r="C5" s="8" t="s">
        <v>196</v>
      </c>
      <c r="D5" s="8"/>
      <c r="E5" s="8"/>
      <c r="F5" s="8"/>
      <c r="G5" s="9"/>
      <c r="I5" s="97"/>
      <c r="J5" s="97"/>
      <c r="K5" s="8" t="s">
        <v>2</v>
      </c>
      <c r="L5" s="8"/>
      <c r="M5" s="8"/>
      <c r="R5" s="10"/>
    </row>
    <row r="6" spans="2:18">
      <c r="B6" s="7"/>
      <c r="C6" s="8" t="s">
        <v>3</v>
      </c>
      <c r="E6" s="8"/>
      <c r="F6" s="8"/>
      <c r="G6" s="8"/>
      <c r="H6" s="8"/>
      <c r="I6" s="8"/>
      <c r="J6" s="8"/>
      <c r="K6" s="8"/>
      <c r="L6" s="8"/>
      <c r="R6" s="10"/>
    </row>
    <row r="7" spans="2:18">
      <c r="B7" s="7"/>
      <c r="C7" s="8"/>
      <c r="E7" s="8"/>
      <c r="F7" s="8"/>
      <c r="G7" s="8"/>
      <c r="H7" s="8"/>
      <c r="I7" s="8"/>
      <c r="J7" s="8"/>
      <c r="K7" s="8"/>
      <c r="L7" s="8"/>
      <c r="R7" s="10"/>
    </row>
    <row r="8" spans="2:18">
      <c r="B8" s="7"/>
      <c r="D8" s="8"/>
      <c r="E8" s="8"/>
      <c r="F8" s="8"/>
      <c r="G8" s="8"/>
      <c r="H8" s="98" t="s">
        <v>4</v>
      </c>
      <c r="I8" s="98"/>
      <c r="J8" s="98"/>
      <c r="K8" s="98"/>
      <c r="L8" s="98"/>
      <c r="M8" s="98"/>
      <c r="R8" s="10"/>
    </row>
    <row r="9" spans="2:18">
      <c r="B9" s="7"/>
      <c r="C9" s="12" t="s">
        <v>5</v>
      </c>
      <c r="D9" s="8"/>
      <c r="E9" s="8"/>
      <c r="F9" s="8"/>
      <c r="G9" s="8"/>
      <c r="H9" s="8"/>
      <c r="I9" s="8"/>
      <c r="J9" s="8"/>
      <c r="K9" s="8"/>
      <c r="L9" s="8"/>
      <c r="R9" s="10"/>
    </row>
    <row r="10" spans="2:18">
      <c r="B10" s="7"/>
      <c r="C10" s="8"/>
      <c r="D10" s="9" t="s">
        <v>6</v>
      </c>
      <c r="E10" s="13" t="s">
        <v>7</v>
      </c>
      <c r="F10" s="8"/>
      <c r="H10" s="99">
        <v>45413</v>
      </c>
      <c r="I10" s="99"/>
      <c r="J10" s="11" t="s">
        <v>8</v>
      </c>
      <c r="K10" s="100">
        <v>45443</v>
      </c>
      <c r="L10" s="100"/>
      <c r="M10" s="15" t="s">
        <v>148</v>
      </c>
      <c r="N10" s="14"/>
      <c r="O10" s="15"/>
      <c r="P10" s="16"/>
      <c r="Q10" s="16"/>
      <c r="R10" s="10"/>
    </row>
    <row r="11" spans="2:18">
      <c r="B11" s="7"/>
      <c r="C11" s="8"/>
      <c r="D11" s="17"/>
      <c r="E11" s="90" t="s">
        <v>114</v>
      </c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18"/>
    </row>
    <row r="12" spans="2:18">
      <c r="B12" s="7"/>
      <c r="C12" s="8"/>
      <c r="D12" s="9" t="s">
        <v>11</v>
      </c>
      <c r="E12" s="13" t="s">
        <v>12</v>
      </c>
      <c r="F12" s="8"/>
      <c r="H12" s="99">
        <f>H10</f>
        <v>45413</v>
      </c>
      <c r="I12" s="99"/>
      <c r="J12" s="11" t="s">
        <v>8</v>
      </c>
      <c r="K12" s="99">
        <f>K10</f>
        <v>45443</v>
      </c>
      <c r="L12" s="99"/>
      <c r="M12" s="8" t="s">
        <v>13</v>
      </c>
      <c r="N12" s="19"/>
      <c r="O12" s="8"/>
      <c r="R12" s="10"/>
    </row>
    <row r="13" spans="2:18">
      <c r="B13" s="7"/>
      <c r="C13" s="8"/>
      <c r="D13" s="8"/>
      <c r="E13" s="20" t="s">
        <v>14</v>
      </c>
      <c r="F13" s="8"/>
      <c r="G13" s="8"/>
      <c r="H13" s="8"/>
      <c r="I13" s="8"/>
      <c r="J13" s="8"/>
      <c r="K13" s="8"/>
      <c r="L13" s="8"/>
      <c r="R13" s="10"/>
    </row>
    <row r="14" spans="2:18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R14" s="10"/>
    </row>
    <row r="15" spans="2:18">
      <c r="B15" s="7"/>
      <c r="C15" s="12" t="s">
        <v>15</v>
      </c>
      <c r="D15" s="8"/>
      <c r="E15" s="8"/>
      <c r="F15" s="8"/>
      <c r="G15" s="8"/>
      <c r="H15" s="8"/>
      <c r="I15" s="8"/>
      <c r="J15" s="8"/>
      <c r="K15" s="8"/>
      <c r="L15" s="8"/>
      <c r="R15" s="10"/>
    </row>
    <row r="16" spans="2:18">
      <c r="B16" s="7"/>
      <c r="C16" s="12"/>
      <c r="D16" s="21" t="s">
        <v>6</v>
      </c>
      <c r="E16" s="8" t="s">
        <v>16</v>
      </c>
      <c r="F16" s="8"/>
      <c r="H16" s="22"/>
      <c r="I16" s="22"/>
      <c r="J16" s="8" t="s">
        <v>17</v>
      </c>
      <c r="K16" s="22"/>
      <c r="L16" s="8"/>
      <c r="M16" s="8" t="s">
        <v>18</v>
      </c>
      <c r="N16" s="22"/>
      <c r="O16" s="22"/>
      <c r="P16" s="8"/>
      <c r="R16" s="10"/>
    </row>
    <row r="17" spans="2:18">
      <c r="B17" s="7"/>
      <c r="C17" s="8"/>
      <c r="D17" s="21" t="s">
        <v>11</v>
      </c>
      <c r="E17" s="8" t="s">
        <v>19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0"/>
    </row>
    <row r="18" spans="2:18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R18" s="10"/>
    </row>
    <row r="19" spans="2:18">
      <c r="B19" s="7"/>
      <c r="C19" s="68" t="s">
        <v>149</v>
      </c>
      <c r="D19" s="8"/>
      <c r="F19" s="69"/>
      <c r="G19" s="8"/>
      <c r="H19" s="8"/>
      <c r="I19" s="8"/>
      <c r="J19" s="8"/>
      <c r="K19" s="8"/>
      <c r="L19" s="8"/>
      <c r="R19" s="10"/>
    </row>
    <row r="20" spans="2:18">
      <c r="B20" s="7"/>
      <c r="C20" s="12"/>
      <c r="D20" s="21" t="s">
        <v>6</v>
      </c>
      <c r="E20" s="101" t="s">
        <v>197</v>
      </c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"/>
    </row>
    <row r="21" spans="2:18">
      <c r="B21" s="7"/>
      <c r="C21" s="12"/>
      <c r="D21" s="21" t="s">
        <v>11</v>
      </c>
      <c r="E21" s="102" t="s">
        <v>198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25"/>
    </row>
    <row r="22" spans="2:18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R22" s="10"/>
    </row>
    <row r="23" spans="2:18">
      <c r="B23" s="7"/>
      <c r="C23" s="12"/>
      <c r="D23"/>
      <c r="E23" s="104" t="s">
        <v>151</v>
      </c>
      <c r="F23" s="104"/>
      <c r="G23" s="104"/>
      <c r="H23" s="105" t="s">
        <v>26</v>
      </c>
      <c r="I23" s="105"/>
      <c r="J23" s="105"/>
      <c r="K23" s="105" t="s">
        <v>27</v>
      </c>
      <c r="L23" s="105"/>
      <c r="M23" s="105"/>
      <c r="N23"/>
      <c r="O23"/>
      <c r="P23"/>
      <c r="Q23"/>
      <c r="R23" s="26"/>
    </row>
    <row r="24" spans="2:18">
      <c r="B24" s="7"/>
      <c r="C24" s="12"/>
      <c r="D24"/>
      <c r="E24" s="107"/>
      <c r="F24" s="107"/>
      <c r="G24" s="107"/>
      <c r="H24" s="108"/>
      <c r="I24" s="108"/>
      <c r="J24" s="108"/>
      <c r="K24" s="109"/>
      <c r="L24" s="109"/>
      <c r="M24" s="109"/>
      <c r="N24"/>
      <c r="O24"/>
      <c r="P24"/>
      <c r="Q24"/>
      <c r="R24" s="10"/>
    </row>
    <row r="25" spans="2:18">
      <c r="B25" s="7"/>
      <c r="C25" s="12"/>
      <c r="D25" s="23"/>
      <c r="E25" s="27"/>
      <c r="F25" s="28"/>
      <c r="G25" s="28"/>
      <c r="H25" s="27"/>
      <c r="I25" s="28"/>
      <c r="J25" s="28"/>
      <c r="K25" s="28"/>
      <c r="L25" s="28"/>
      <c r="M25" s="28"/>
      <c r="N25" s="28"/>
      <c r="O25" s="28"/>
      <c r="P25" s="29"/>
      <c r="Q25" s="29"/>
      <c r="R25" s="10"/>
    </row>
    <row r="26" spans="2:18">
      <c r="B26" s="7"/>
      <c r="C26" s="12"/>
      <c r="D26" s="9" t="s">
        <v>31</v>
      </c>
      <c r="E26" s="102" t="s">
        <v>199</v>
      </c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25"/>
    </row>
    <row r="27" spans="2:18">
      <c r="B27" s="7"/>
      <c r="C27" s="12"/>
      <c r="D27" s="17"/>
      <c r="E27" s="106" t="s">
        <v>33</v>
      </c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31"/>
    </row>
    <row r="28" spans="2:18">
      <c r="B28" s="7"/>
      <c r="C28" s="12"/>
      <c r="D28" s="29"/>
      <c r="E28" s="32"/>
      <c r="F28" s="32"/>
      <c r="G28" s="32"/>
      <c r="H28" s="32"/>
      <c r="I28" s="32"/>
      <c r="J28" s="32"/>
      <c r="K28" s="32"/>
      <c r="L28" s="32"/>
      <c r="M28" s="110" t="s">
        <v>34</v>
      </c>
      <c r="N28" s="110"/>
      <c r="O28" s="110"/>
      <c r="P28" s="110"/>
      <c r="Q28" s="110"/>
      <c r="R28" s="31"/>
    </row>
    <row r="29" spans="2:18">
      <c r="B29" s="7"/>
      <c r="C29" s="12"/>
      <c r="D29" s="33" t="s">
        <v>35</v>
      </c>
      <c r="E29" s="106" t="s">
        <v>36</v>
      </c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"/>
    </row>
    <row r="30" spans="2:18">
      <c r="B30" s="7"/>
      <c r="C30" s="12"/>
      <c r="D30" s="21" t="s">
        <v>37</v>
      </c>
      <c r="E30" s="106" t="s">
        <v>38</v>
      </c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"/>
    </row>
    <row r="31" spans="2:18">
      <c r="B31" s="7"/>
      <c r="C31" s="12"/>
      <c r="D31" s="32"/>
      <c r="E31" s="32"/>
      <c r="F31" s="32"/>
      <c r="G31" s="32"/>
      <c r="H31" s="32"/>
      <c r="I31" s="32"/>
      <c r="J31" s="32"/>
      <c r="K31" s="32"/>
      <c r="L31" s="32"/>
      <c r="M31" s="110" t="s">
        <v>34</v>
      </c>
      <c r="N31" s="110"/>
      <c r="O31" s="110"/>
      <c r="P31" s="110"/>
      <c r="Q31" s="110"/>
      <c r="R31" s="31"/>
    </row>
    <row r="32" spans="2:18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R32" s="10"/>
    </row>
    <row r="33" spans="1:19">
      <c r="B33" s="7"/>
      <c r="C33" s="12" t="s">
        <v>39</v>
      </c>
      <c r="D33" s="8"/>
      <c r="E33" s="8"/>
      <c r="F33" s="8"/>
      <c r="G33" s="8"/>
      <c r="H33" s="8"/>
      <c r="I33" s="8"/>
      <c r="J33" s="8"/>
      <c r="K33" s="8"/>
      <c r="L33" s="8"/>
      <c r="R33" s="10"/>
    </row>
    <row r="34" spans="1:19">
      <c r="B34" s="7"/>
      <c r="C34" s="12"/>
      <c r="D34" s="21" t="s">
        <v>200</v>
      </c>
      <c r="E34" s="106" t="s">
        <v>229</v>
      </c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"/>
    </row>
    <row r="35" spans="1:19">
      <c r="B35" s="7"/>
      <c r="C35" s="12"/>
      <c r="D35" s="21" t="s">
        <v>201</v>
      </c>
      <c r="E35" s="106" t="s">
        <v>202</v>
      </c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"/>
    </row>
    <row r="36" spans="1:19">
      <c r="B36" s="7"/>
      <c r="C36" s="12"/>
      <c r="D36" s="21" t="s">
        <v>203</v>
      </c>
      <c r="E36" s="106" t="s">
        <v>204</v>
      </c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"/>
    </row>
    <row r="37" spans="1:19">
      <c r="B37" s="7"/>
      <c r="C37" s="12"/>
      <c r="D37" s="9" t="s">
        <v>205</v>
      </c>
      <c r="E37" s="90" t="s">
        <v>206</v>
      </c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70"/>
      <c r="S37" s="71"/>
    </row>
    <row r="38" spans="1:19">
      <c r="B38" s="7"/>
      <c r="C38" s="8"/>
      <c r="D38" s="21" t="s">
        <v>37</v>
      </c>
      <c r="E38" s="112" t="s">
        <v>51</v>
      </c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0"/>
      <c r="S38" s="71"/>
    </row>
    <row r="39" spans="1:19">
      <c r="B39" s="7"/>
      <c r="C39" s="8"/>
      <c r="D39" s="21" t="s">
        <v>56</v>
      </c>
      <c r="E39" s="106" t="s">
        <v>52</v>
      </c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25"/>
      <c r="S39" s="71"/>
    </row>
    <row r="40" spans="1:19">
      <c r="B40" s="7"/>
      <c r="C40" s="8"/>
      <c r="D40" s="9" t="s">
        <v>207</v>
      </c>
      <c r="E40" s="106" t="s">
        <v>53</v>
      </c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25"/>
      <c r="S40" s="71"/>
    </row>
    <row r="41" spans="1:19">
      <c r="A41" s="72"/>
      <c r="B41" s="7"/>
      <c r="C41" s="8"/>
      <c r="D41" s="21" t="s">
        <v>54</v>
      </c>
      <c r="E41" s="106" t="s">
        <v>55</v>
      </c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25"/>
      <c r="S41" s="73"/>
    </row>
    <row r="42" spans="1:19">
      <c r="B42" s="7"/>
      <c r="C42" s="8"/>
      <c r="D42" s="9" t="s">
        <v>208</v>
      </c>
      <c r="E42" s="106" t="s">
        <v>57</v>
      </c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25"/>
    </row>
    <row r="43" spans="1:19">
      <c r="B43" s="7"/>
      <c r="C43" s="8"/>
      <c r="D43" s="21"/>
      <c r="E43" s="106" t="s">
        <v>58</v>
      </c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25"/>
    </row>
    <row r="44" spans="1:19">
      <c r="B44" s="7"/>
      <c r="C44" s="8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5"/>
    </row>
    <row r="45" spans="1:19">
      <c r="B45" s="7"/>
      <c r="C45" s="12" t="s">
        <v>209</v>
      </c>
      <c r="D45" s="40"/>
      <c r="E45" s="40"/>
      <c r="F45" s="40"/>
      <c r="G45" s="40"/>
      <c r="H45" s="40"/>
      <c r="I45" s="40"/>
      <c r="J45" s="40"/>
      <c r="K45" s="40"/>
      <c r="L45" s="40"/>
      <c r="R45" s="10"/>
    </row>
    <row r="46" spans="1:19">
      <c r="B46" s="74"/>
      <c r="C46" s="75"/>
      <c r="D46" s="76" t="s">
        <v>6</v>
      </c>
      <c r="E46" s="111" t="s">
        <v>210</v>
      </c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78"/>
    </row>
    <row r="47" spans="1:19">
      <c r="B47" s="79"/>
      <c r="C47" s="75"/>
      <c r="D47" s="76" t="s">
        <v>11</v>
      </c>
      <c r="E47" s="113" t="s">
        <v>211</v>
      </c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81"/>
    </row>
    <row r="48" spans="1:19"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R48" s="10"/>
    </row>
    <row r="49" spans="1:19">
      <c r="B49" s="7"/>
      <c r="C49" s="12" t="s">
        <v>64</v>
      </c>
      <c r="D49" s="8"/>
      <c r="E49" s="8"/>
      <c r="F49" s="8"/>
      <c r="G49" s="8"/>
      <c r="H49" s="8"/>
      <c r="I49" s="8"/>
      <c r="J49" s="8"/>
      <c r="K49" s="8"/>
      <c r="L49" s="8"/>
      <c r="R49" s="10"/>
    </row>
    <row r="50" spans="1:19">
      <c r="A50" s="82"/>
      <c r="B50" s="7"/>
      <c r="D50" s="21" t="s">
        <v>6</v>
      </c>
      <c r="E50" s="103" t="s">
        <v>157</v>
      </c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"/>
      <c r="S50" s="82"/>
    </row>
    <row r="51" spans="1:19">
      <c r="A51" s="75"/>
      <c r="B51" s="83"/>
      <c r="C51" s="69"/>
      <c r="D51" s="76" t="s">
        <v>11</v>
      </c>
      <c r="E51" s="111" t="s">
        <v>158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84"/>
      <c r="S51" s="75"/>
    </row>
    <row r="52" spans="1:19">
      <c r="B52" s="7"/>
      <c r="C52" s="8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10"/>
    </row>
    <row r="53" spans="1:19">
      <c r="B53" s="7"/>
      <c r="C53" s="12" t="s">
        <v>68</v>
      </c>
      <c r="D53" s="8"/>
      <c r="E53" s="8"/>
      <c r="F53" s="8"/>
      <c r="G53" s="8"/>
      <c r="H53" s="8"/>
      <c r="I53" s="8"/>
      <c r="J53" s="8"/>
      <c r="K53" s="8"/>
      <c r="L53" s="8"/>
      <c r="R53" s="10"/>
    </row>
    <row r="54" spans="1:19">
      <c r="B54" s="7"/>
      <c r="D54" s="21"/>
      <c r="E54" s="111" t="s">
        <v>212</v>
      </c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0"/>
    </row>
    <row r="55" spans="1:19">
      <c r="A55" s="85"/>
      <c r="B55" s="7"/>
      <c r="D55" s="29"/>
      <c r="E55" s="32"/>
      <c r="F55" s="32"/>
      <c r="G55" s="32"/>
      <c r="H55" s="32"/>
      <c r="I55" s="32"/>
      <c r="J55" s="32"/>
      <c r="K55" s="32"/>
      <c r="L55" s="32"/>
      <c r="M55" s="110" t="s">
        <v>34</v>
      </c>
      <c r="N55" s="110"/>
      <c r="O55" s="110"/>
      <c r="P55" s="110"/>
      <c r="Q55" s="110"/>
      <c r="R55" s="10"/>
      <c r="S55" s="85"/>
    </row>
    <row r="56" spans="1:19">
      <c r="B56" s="42"/>
      <c r="C56" s="43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5"/>
    </row>
    <row r="57" spans="1:19">
      <c r="B57" s="7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10"/>
    </row>
    <row r="58" spans="1:19">
      <c r="B58" s="7"/>
      <c r="C58" s="12" t="s">
        <v>72</v>
      </c>
      <c r="D58" s="8"/>
      <c r="E58" s="8"/>
      <c r="F58" s="40"/>
      <c r="G58" s="40"/>
      <c r="H58" s="40"/>
      <c r="I58" s="8"/>
      <c r="J58" s="8"/>
      <c r="K58" s="8"/>
      <c r="L58" s="8"/>
      <c r="R58" s="10"/>
    </row>
    <row r="59" spans="1:19">
      <c r="B59" s="7"/>
      <c r="D59" s="9" t="s">
        <v>6</v>
      </c>
      <c r="E59" s="103" t="s">
        <v>73</v>
      </c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"/>
    </row>
    <row r="60" spans="1:19">
      <c r="B60" s="7"/>
      <c r="C60" s="8"/>
      <c r="D60" s="46"/>
      <c r="E60" s="103" t="s">
        <v>74</v>
      </c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"/>
    </row>
    <row r="61" spans="1:19">
      <c r="B61" s="7"/>
      <c r="C61" s="8"/>
      <c r="D61" s="46"/>
      <c r="E61" s="103" t="s">
        <v>75</v>
      </c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"/>
    </row>
    <row r="62" spans="1:19">
      <c r="B62" s="7"/>
      <c r="C62" s="8"/>
      <c r="D62" s="46"/>
      <c r="E62" s="103" t="s">
        <v>76</v>
      </c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"/>
    </row>
    <row r="63" spans="1:19">
      <c r="B63" s="7"/>
      <c r="C63" s="8"/>
      <c r="D63" s="46"/>
      <c r="E63" s="103" t="s">
        <v>77</v>
      </c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"/>
    </row>
    <row r="64" spans="1:19">
      <c r="B64" s="7"/>
      <c r="C64" s="8"/>
      <c r="D64" s="46"/>
      <c r="E64" s="103" t="s">
        <v>78</v>
      </c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"/>
    </row>
    <row r="65" spans="1:19">
      <c r="B65" s="7"/>
      <c r="C65" s="8"/>
      <c r="D65" s="46"/>
      <c r="E65" s="103" t="s">
        <v>79</v>
      </c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"/>
    </row>
    <row r="66" spans="1:19">
      <c r="B66" s="7"/>
      <c r="C66" s="8"/>
      <c r="D66" s="21" t="s">
        <v>11</v>
      </c>
      <c r="E66" s="114" t="s">
        <v>213</v>
      </c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"/>
    </row>
    <row r="67" spans="1:19">
      <c r="B67" s="7"/>
      <c r="C67" s="8"/>
      <c r="D67" s="21"/>
      <c r="E67" s="111" t="s">
        <v>214</v>
      </c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0"/>
    </row>
    <row r="68" spans="1:19">
      <c r="B68" s="7"/>
      <c r="C68" s="8"/>
      <c r="D68" s="21" t="s">
        <v>31</v>
      </c>
      <c r="E68" s="114" t="s">
        <v>215</v>
      </c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"/>
    </row>
    <row r="69" spans="1:19">
      <c r="B69" s="7"/>
      <c r="C69" s="8"/>
      <c r="D69" s="21"/>
      <c r="E69" s="106" t="s">
        <v>83</v>
      </c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"/>
    </row>
    <row r="70" spans="1:19">
      <c r="B70" s="7"/>
      <c r="C70" s="8"/>
      <c r="D70" s="21"/>
      <c r="E70" s="23"/>
      <c r="F70" s="23"/>
      <c r="G70" s="23"/>
      <c r="H70" s="23"/>
      <c r="I70" s="23"/>
      <c r="J70" s="23"/>
      <c r="K70" s="23"/>
      <c r="L70" s="23"/>
      <c r="M70" s="110" t="s">
        <v>34</v>
      </c>
      <c r="N70" s="110"/>
      <c r="O70" s="110"/>
      <c r="P70" s="110"/>
      <c r="Q70" s="110"/>
      <c r="R70" s="10"/>
    </row>
    <row r="71" spans="1:19">
      <c r="B71" s="7"/>
      <c r="C71" s="8"/>
      <c r="D71" s="21" t="s">
        <v>84</v>
      </c>
      <c r="E71" s="114" t="s">
        <v>216</v>
      </c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"/>
    </row>
    <row r="72" spans="1:19">
      <c r="B72" s="7"/>
      <c r="C72" s="8"/>
      <c r="D72" s="17"/>
      <c r="E72" s="106" t="s">
        <v>86</v>
      </c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"/>
    </row>
    <row r="73" spans="1:19">
      <c r="B73" s="7"/>
      <c r="C73" s="8"/>
      <c r="D73" s="17"/>
      <c r="E73" s="17"/>
      <c r="F73" s="17"/>
      <c r="G73" s="17"/>
      <c r="H73" s="17"/>
      <c r="I73" s="17"/>
      <c r="J73" s="17"/>
      <c r="K73" s="17"/>
      <c r="L73" s="17"/>
      <c r="M73" s="110" t="s">
        <v>34</v>
      </c>
      <c r="N73" s="110"/>
      <c r="O73" s="110"/>
      <c r="P73" s="110"/>
      <c r="Q73" s="110"/>
      <c r="R73" s="10"/>
    </row>
    <row r="74" spans="1:19">
      <c r="B74" s="7"/>
      <c r="C74" s="8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10"/>
    </row>
    <row r="75" spans="1:19">
      <c r="B75" s="74"/>
      <c r="C75" s="68" t="s">
        <v>217</v>
      </c>
      <c r="D75" s="69"/>
      <c r="E75" s="69"/>
      <c r="F75" s="69"/>
      <c r="G75" s="69"/>
      <c r="H75" s="75"/>
      <c r="I75" s="75"/>
      <c r="J75" s="75"/>
      <c r="K75" s="75"/>
      <c r="L75" s="75"/>
      <c r="M75" s="82"/>
      <c r="N75" s="82"/>
      <c r="O75" s="82"/>
      <c r="P75" s="82"/>
      <c r="Q75" s="82"/>
      <c r="R75" s="78"/>
    </row>
    <row r="76" spans="1:19">
      <c r="B76" s="7"/>
      <c r="C76" s="85"/>
      <c r="D76" s="80" t="s">
        <v>218</v>
      </c>
      <c r="E76" s="80"/>
      <c r="F76" s="80"/>
      <c r="G76" s="8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10"/>
    </row>
    <row r="77" spans="1:19">
      <c r="B77" s="7"/>
      <c r="C77" s="8"/>
      <c r="D77" s="17"/>
      <c r="E77" s="24" t="s">
        <v>89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10"/>
    </row>
    <row r="78" spans="1:19">
      <c r="B78" s="7"/>
      <c r="C78" s="8"/>
      <c r="D78" s="17"/>
      <c r="E78" s="24" t="s">
        <v>90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10"/>
    </row>
    <row r="79" spans="1:19">
      <c r="A79" s="82"/>
      <c r="B79" s="7"/>
      <c r="C79" s="8"/>
      <c r="D79" s="17"/>
      <c r="E79" s="24" t="s">
        <v>91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10"/>
      <c r="S79" s="82"/>
    </row>
    <row r="80" spans="1:19">
      <c r="B80" s="7"/>
      <c r="C80" s="69"/>
      <c r="D80" s="86"/>
      <c r="E80" s="77"/>
      <c r="F80" s="77"/>
      <c r="G80" s="7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10"/>
    </row>
    <row r="81" spans="1:19">
      <c r="B81" s="74"/>
      <c r="C81" s="68" t="s">
        <v>219</v>
      </c>
      <c r="D81" s="85"/>
      <c r="E81" s="85"/>
      <c r="F81" s="85"/>
      <c r="G81" s="85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78"/>
    </row>
    <row r="82" spans="1:19">
      <c r="B82" s="87"/>
      <c r="C82" s="88"/>
      <c r="D82" s="80" t="s">
        <v>220</v>
      </c>
      <c r="E82" s="77"/>
      <c r="F82" s="77"/>
      <c r="G82" s="7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18"/>
    </row>
    <row r="83" spans="1:19">
      <c r="B83" s="87"/>
      <c r="C83" s="88"/>
      <c r="D83" s="80" t="s">
        <v>221</v>
      </c>
      <c r="E83" s="77"/>
      <c r="F83" s="77"/>
      <c r="G83" s="7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18"/>
    </row>
    <row r="84" spans="1:19">
      <c r="B84" s="7"/>
      <c r="C84" s="8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10"/>
    </row>
    <row r="85" spans="1:19">
      <c r="A85" s="82"/>
      <c r="B85" s="7"/>
      <c r="C85" s="12" t="s">
        <v>222</v>
      </c>
      <c r="R85" s="10"/>
      <c r="S85" s="82"/>
    </row>
    <row r="86" spans="1:19">
      <c r="A86" s="89"/>
      <c r="B86" s="7"/>
      <c r="D86" s="30" t="s">
        <v>223</v>
      </c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7"/>
      <c r="S86" s="89"/>
    </row>
    <row r="87" spans="1:19">
      <c r="A87" s="89"/>
      <c r="B87" s="7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7"/>
      <c r="S87" s="89"/>
    </row>
    <row r="88" spans="1:19">
      <c r="B88" s="7"/>
      <c r="C88" s="12" t="s">
        <v>224</v>
      </c>
      <c r="E88" s="8"/>
      <c r="F88" s="8"/>
      <c r="G88" s="8"/>
      <c r="H88" s="8"/>
      <c r="I88" s="8"/>
      <c r="J88" s="8"/>
      <c r="K88" s="8"/>
      <c r="L88" s="8"/>
      <c r="R88" s="10"/>
    </row>
    <row r="89" spans="1:19">
      <c r="B89" s="7"/>
      <c r="D89" s="13" t="s">
        <v>225</v>
      </c>
      <c r="E89" s="40"/>
      <c r="F89" s="40"/>
      <c r="G89" s="40"/>
      <c r="H89" s="40"/>
      <c r="I89" s="8"/>
      <c r="J89" s="8"/>
      <c r="K89" s="8"/>
      <c r="L89" s="8"/>
      <c r="R89" s="10"/>
    </row>
    <row r="90" spans="1:19">
      <c r="B90" s="7"/>
      <c r="D90" s="13"/>
      <c r="E90" s="40"/>
      <c r="F90" s="40"/>
      <c r="G90" s="40"/>
      <c r="H90" s="40"/>
      <c r="I90" s="8"/>
      <c r="J90" s="8"/>
      <c r="K90" s="8"/>
      <c r="L90" s="8"/>
      <c r="R90" s="10"/>
    </row>
    <row r="91" spans="1:19">
      <c r="B91" s="7"/>
      <c r="C91" s="12" t="s">
        <v>226</v>
      </c>
      <c r="R91" s="10"/>
    </row>
    <row r="92" spans="1:19">
      <c r="B92" s="7"/>
      <c r="D92" s="24" t="s">
        <v>97</v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10"/>
    </row>
    <row r="93" spans="1:19">
      <c r="B93" s="7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10"/>
    </row>
    <row r="94" spans="1:19">
      <c r="B94" s="7"/>
      <c r="C94" s="12" t="s">
        <v>98</v>
      </c>
      <c r="D94" s="48"/>
      <c r="E94" s="49"/>
      <c r="F94" s="49"/>
      <c r="G94" s="50"/>
      <c r="H94" s="50"/>
      <c r="I94" s="50"/>
      <c r="J94" s="50"/>
      <c r="K94" s="50"/>
      <c r="L94" s="50"/>
      <c r="M94" s="51"/>
      <c r="N94" s="52"/>
      <c r="O94" s="52"/>
      <c r="P94" s="52"/>
      <c r="Q94" s="52"/>
      <c r="R94" s="10"/>
    </row>
    <row r="95" spans="1:19">
      <c r="B95" s="7"/>
      <c r="C95" s="12"/>
      <c r="D95" s="48"/>
      <c r="E95" s="49"/>
      <c r="F95" s="49"/>
      <c r="G95" s="50"/>
      <c r="H95" s="50"/>
      <c r="I95" s="50"/>
      <c r="J95" s="50"/>
      <c r="K95" s="50"/>
      <c r="L95" s="50"/>
      <c r="M95" s="51"/>
      <c r="N95" s="52"/>
      <c r="O95" s="52"/>
      <c r="P95" s="52"/>
      <c r="Q95" s="52"/>
      <c r="R95" s="10"/>
    </row>
    <row r="96" spans="1:19">
      <c r="B96" s="119" t="s">
        <v>99</v>
      </c>
      <c r="C96" s="120"/>
      <c r="D96" s="121"/>
      <c r="E96" s="119"/>
      <c r="F96" s="120"/>
      <c r="G96" s="121"/>
      <c r="H96" s="119" t="s">
        <v>100</v>
      </c>
      <c r="I96" s="121"/>
      <c r="J96" s="119"/>
      <c r="K96" s="120"/>
      <c r="L96" s="121"/>
      <c r="M96" s="119" t="s">
        <v>101</v>
      </c>
      <c r="N96" s="121"/>
      <c r="O96" s="122"/>
      <c r="P96" s="123"/>
      <c r="Q96" s="123"/>
      <c r="R96" s="124"/>
    </row>
    <row r="97" spans="2:18">
      <c r="B97" s="119" t="s">
        <v>102</v>
      </c>
      <c r="C97" s="120"/>
      <c r="D97" s="121"/>
      <c r="E97" s="119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1"/>
    </row>
    <row r="98" spans="2:18">
      <c r="B98" s="53"/>
      <c r="C98" s="11"/>
      <c r="D98" s="11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5"/>
    </row>
    <row r="99" spans="2:18">
      <c r="B99" s="125" t="s">
        <v>227</v>
      </c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7"/>
    </row>
    <row r="100" spans="2:18">
      <c r="B100" s="7"/>
      <c r="C100" s="8"/>
      <c r="E100" s="8"/>
      <c r="F100" s="8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R100" s="10"/>
    </row>
    <row r="101" spans="2:18">
      <c r="B101" s="7"/>
      <c r="C101" s="119" t="s">
        <v>228</v>
      </c>
      <c r="D101" s="120"/>
      <c r="E101" s="120"/>
      <c r="F101" s="120"/>
      <c r="G101" s="120"/>
      <c r="H101" s="120"/>
      <c r="I101" s="120"/>
      <c r="J101" s="121"/>
      <c r="K101" s="119" t="s">
        <v>104</v>
      </c>
      <c r="L101" s="120"/>
      <c r="M101" s="120"/>
      <c r="N101" s="120"/>
      <c r="O101" s="120"/>
      <c r="P101" s="120"/>
      <c r="Q101" s="121"/>
      <c r="R101" s="10"/>
    </row>
    <row r="102" spans="2:18">
      <c r="B102" s="7"/>
      <c r="C102" s="115" t="s">
        <v>105</v>
      </c>
      <c r="D102" s="116"/>
      <c r="E102" s="116"/>
      <c r="F102" s="116"/>
      <c r="G102" s="116"/>
      <c r="H102" s="117" t="s">
        <v>106</v>
      </c>
      <c r="I102" s="117"/>
      <c r="J102" s="118"/>
      <c r="K102" s="115" t="str">
        <f>LEFT(E96,3)</f>
        <v/>
      </c>
      <c r="L102" s="116"/>
      <c r="M102" s="116"/>
      <c r="N102" s="116"/>
      <c r="O102" s="117" t="s">
        <v>106</v>
      </c>
      <c r="P102" s="117"/>
      <c r="Q102" s="118"/>
      <c r="R102" s="10"/>
    </row>
    <row r="103" spans="2:18">
      <c r="B103" s="7"/>
      <c r="C103" s="8"/>
      <c r="D103" s="8"/>
      <c r="R103" s="10"/>
    </row>
    <row r="104" spans="2:18">
      <c r="B104" s="7"/>
      <c r="C104" s="8"/>
      <c r="R104" s="10"/>
    </row>
    <row r="105" spans="2:18">
      <c r="B105" s="7"/>
      <c r="C105" s="8"/>
      <c r="R105" s="10"/>
    </row>
    <row r="106" spans="2:18">
      <c r="B106" s="42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5"/>
    </row>
  </sheetData>
  <mergeCells count="68">
    <mergeCell ref="B99:R99"/>
    <mergeCell ref="C101:J101"/>
    <mergeCell ref="K101:Q101"/>
    <mergeCell ref="C102:G102"/>
    <mergeCell ref="H102:J102"/>
    <mergeCell ref="K102:N102"/>
    <mergeCell ref="O102:Q102"/>
    <mergeCell ref="M70:Q70"/>
    <mergeCell ref="E71:Q71"/>
    <mergeCell ref="E72:Q72"/>
    <mergeCell ref="M73:Q73"/>
    <mergeCell ref="B96:D96"/>
    <mergeCell ref="E96:G96"/>
    <mergeCell ref="H96:I96"/>
    <mergeCell ref="J96:L96"/>
    <mergeCell ref="M96:N96"/>
    <mergeCell ref="O96:R96"/>
    <mergeCell ref="B97:D97"/>
    <mergeCell ref="E97:R97"/>
    <mergeCell ref="E69:Q69"/>
    <mergeCell ref="M55:Q55"/>
    <mergeCell ref="E59:Q59"/>
    <mergeCell ref="E60:Q60"/>
    <mergeCell ref="E61:Q61"/>
    <mergeCell ref="E62:Q62"/>
    <mergeCell ref="E63:Q63"/>
    <mergeCell ref="E64:Q64"/>
    <mergeCell ref="E65:Q65"/>
    <mergeCell ref="E66:Q66"/>
    <mergeCell ref="E67:Q67"/>
    <mergeCell ref="E68:Q68"/>
    <mergeCell ref="E54:Q54"/>
    <mergeCell ref="E37:Q37"/>
    <mergeCell ref="E38:Q38"/>
    <mergeCell ref="E39:Q39"/>
    <mergeCell ref="E40:Q40"/>
    <mergeCell ref="E41:Q41"/>
    <mergeCell ref="E42:Q42"/>
    <mergeCell ref="E43:Q43"/>
    <mergeCell ref="E46:Q46"/>
    <mergeCell ref="E47:Q47"/>
    <mergeCell ref="E50:Q50"/>
    <mergeCell ref="E51:Q51"/>
    <mergeCell ref="E36:Q36"/>
    <mergeCell ref="E24:G24"/>
    <mergeCell ref="H24:J24"/>
    <mergeCell ref="K24:M24"/>
    <mergeCell ref="E26:Q26"/>
    <mergeCell ref="E27:Q27"/>
    <mergeCell ref="M28:Q28"/>
    <mergeCell ref="E29:Q29"/>
    <mergeCell ref="E30:Q30"/>
    <mergeCell ref="M31:Q31"/>
    <mergeCell ref="E34:Q34"/>
    <mergeCell ref="E35:Q35"/>
    <mergeCell ref="H12:I12"/>
    <mergeCell ref="K12:L12"/>
    <mergeCell ref="E20:Q20"/>
    <mergeCell ref="E21:Q21"/>
    <mergeCell ref="E23:G23"/>
    <mergeCell ref="H23:J23"/>
    <mergeCell ref="K23:M23"/>
    <mergeCell ref="E11:Q11"/>
    <mergeCell ref="B2:R3"/>
    <mergeCell ref="I5:J5"/>
    <mergeCell ref="H8:M8"/>
    <mergeCell ref="H10:I10"/>
    <mergeCell ref="K10:L10"/>
  </mergeCells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근로계약서</vt:lpstr>
      <vt:lpstr>수습계약서</vt:lpstr>
      <vt:lpstr>촉탁직계약서</vt:lpstr>
      <vt:lpstr>연봉계약서</vt:lpstr>
      <vt:lpstr>시급제계약서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지연 백</dc:creator>
  <cp:lastModifiedBy>정혜진</cp:lastModifiedBy>
  <dcterms:created xsi:type="dcterms:W3CDTF">2026-08-12T06:01:00Z</dcterms:created>
  <dcterms:modified xsi:type="dcterms:W3CDTF">2026-08-13T01:31:02Z</dcterms:modified>
</cp:coreProperties>
</file>